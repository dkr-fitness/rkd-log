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lendar" sheetId="2" state="visible" r:id="rId4"/>
    <sheet name="Sessions" sheetId="3" state="visible" r:id="rId5"/>
    <sheet name="HEP" sheetId="4" state="visible" r:id="rId6"/>
    <sheet name="Right-Side Tracker" sheetId="5" state="visible" r:id="rId7"/>
    <sheet name="Code Handof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<sst xmlns="http://schemas.openxmlformats.org/spreadsheetml/2006/main" count="707" uniqueCount="389">
  <si>
    <t xml:space="preserve">Meso 03 — Right-Side Strength Block</t>
  </si>
  <si>
    <t xml:space="preserve">8 weeks · Oct 19 – Dec 13, 2026 · drafted for review before the Claude Code handoff</t>
  </si>
  <si>
    <t xml:space="preserve">Block start (Mon)</t>
  </si>
  <si>
    <t xml:space="preserve">Blue = input. Change the start date and every date in the workbook follows.</t>
  </si>
  <si>
    <t xml:space="preserve">Block end (Sun)</t>
  </si>
  <si>
    <t xml:space="preserve">Phases</t>
  </si>
  <si>
    <t xml:space="preserve">Phase</t>
  </si>
  <si>
    <t xml:space="preserve">Weeks</t>
  </si>
  <si>
    <t xml:space="preserve">Main lift</t>
  </si>
  <si>
    <t xml:space="preserve">Accessories</t>
  </si>
  <si>
    <t xml:space="preserve">Purpose</t>
  </si>
  <si>
    <t xml:space="preserve">Baseline</t>
  </si>
  <si>
    <t xml:space="preserve">1–2</t>
  </si>
  <si>
    <t xml:space="preserve">4×6 @ RPE 6–7</t>
  </si>
  <si>
    <t xml:space="preserve">3×8–10</t>
  </si>
  <si>
    <t xml:space="preserve">Find honest right-side starting loads; left matches right</t>
  </si>
  <si>
    <t xml:space="preserve">Volume</t>
  </si>
  <si>
    <t xml:space="preserve">3–5</t>
  </si>
  <si>
    <t xml:space="preserve">5×6–8 @ RPE 7–8</t>
  </si>
  <si>
    <t xml:space="preserve">3×10–12</t>
  </si>
  <si>
    <t xml:space="preserve">Build muscle; the longest phase</t>
  </si>
  <si>
    <t xml:space="preserve">Performance</t>
  </si>
  <si>
    <t xml:space="preserve">6–7</t>
  </si>
  <si>
    <t xml:space="preserve">4×4–5 @ RPE 8</t>
  </si>
  <si>
    <t xml:space="preserve">3×8, heavier</t>
  </si>
  <si>
    <t xml:space="preserve">Express strength</t>
  </si>
  <si>
    <t xml:space="preserve">Deload + retest</t>
  </si>
  <si>
    <t xml:space="preserve">8</t>
  </si>
  <si>
    <t xml:space="preserve">3×5 @ RPE 6</t>
  </si>
  <si>
    <t xml:space="preserve">2×8</t>
  </si>
  <si>
    <t xml:space="preserve">Recover, then repeat Baseline L/R tests and compare</t>
  </si>
  <si>
    <t xml:space="preserve">Weekly schedule</t>
  </si>
  <si>
    <t xml:space="preserve">Day</t>
  </si>
  <si>
    <t xml:space="preserve">Session</t>
  </si>
  <si>
    <t xml:space="preserve">Scoring</t>
  </si>
  <si>
    <t xml:space="preserve">Notes</t>
  </si>
  <si>
    <t xml:space="preserve">Mon</t>
  </si>
  <si>
    <t xml:space="preserve">Hinge Lead</t>
  </si>
  <si>
    <t xml:space="preserve">Rack Pull</t>
  </si>
  <si>
    <t xml:space="preserve">Strength curve + medal</t>
  </si>
  <si>
    <t xml:space="preserve">Main + 3 accessories + right-side check</t>
  </si>
  <si>
    <t xml:space="preserve">Tue</t>
  </si>
  <si>
    <t xml:space="preserve">Zone 2</t>
  </si>
  <si>
    <t xml:space="preserve">—</t>
  </si>
  <si>
    <t xml:space="preserve">Z2 compliance</t>
  </si>
  <si>
    <t xml:space="preserve">25–35 min cap; light hands on bike bars</t>
  </si>
  <si>
    <t xml:space="preserve">Wed</t>
  </si>
  <si>
    <t xml:space="preserve">Squat + Push</t>
  </si>
  <si>
    <t xml:space="preserve">Safety Bar Squat</t>
  </si>
  <si>
    <t xml:space="preserve">Squat moved here from Monday</t>
  </si>
  <si>
    <t xml:space="preserve">Thu</t>
  </si>
  <si>
    <t xml:space="preserve">25–35 min cap; lap swim OK</t>
  </si>
  <si>
    <t xml:space="preserve">Fri</t>
  </si>
  <si>
    <t xml:space="preserve">Pull + Hinge</t>
  </si>
  <si>
    <t xml:space="preserve">Romanian Deadlift</t>
  </si>
  <si>
    <t xml:space="preserve">Sat</t>
  </si>
  <si>
    <t xml:space="preserve">Full Range (self-directed)</t>
  </si>
  <si>
    <t xml:space="preserve">Strength curve + medal (NEW)</t>
  </si>
  <si>
    <t xml:space="preserve">Replaces classes; effort cap 7/10; tempo progression</t>
  </si>
  <si>
    <t xml:space="preserve">Sun</t>
  </si>
  <si>
    <t xml:space="preserve">CS4 Active Recovery</t>
  </si>
  <si>
    <t xml:space="preserve">Done ✓</t>
  </si>
  <si>
    <t xml:space="preserve">Unchanged</t>
  </si>
  <si>
    <t xml:space="preserve">Rules for the block</t>
  </si>
  <si>
    <t xml:space="preserve">•</t>
  </si>
  <si>
    <t xml:space="preserve">Warm-up ramps: max 2 sets, not logged. Logged sets are working sets (keeps sessions ~50 min).</t>
  </si>
  <si>
    <t xml:space="preserve">Single-arm lifts: right side first and sets the load; left matches reps.</t>
  </si>
  <si>
    <t xml:space="preserve">Elbow: chest press stops at 90° flexion; triceps pushdown only (no overhead); nothing that holds a deep elbow bend.</t>
  </si>
  <si>
    <t xml:space="preserve">No back squat, goblet squat, rower/SkiErg intervals, or overhead pressing this block (overhead pending surgeon clearance).</t>
  </si>
  <si>
    <t xml:space="preserve">Right-side check (carries, pinch holds) trains the ulnar-driven hand muscles — log both sides every time.</t>
  </si>
  <si>
    <t xml:space="preserve">Pain-gating: stop a set if tingling increases or lingers; note it in the session log.</t>
  </si>
  <si>
    <t xml:space="preserve">Week 8 retest (Mon/Wed/Fri): repeat Baseline loads for carries, pinch hold and single-arm lifts; log both sides in the Right-Side Tracker.</t>
  </si>
  <si>
    <t xml:space="preserve">Open decisions</t>
  </si>
  <si>
    <t xml:space="preserve">Item</t>
  </si>
  <si>
    <t xml:space="preserve">Current assumption</t>
  </si>
  <si>
    <t xml:space="preserve">Status</t>
  </si>
  <si>
    <t xml:space="preserve">Bulgarian split squat loading</t>
  </si>
  <si>
    <t xml:space="preserve">DB in each hand (was left-hand only)</t>
  </si>
  <si>
    <t xml:space="preserve">Decided</t>
  </si>
  <si>
    <t xml:space="preserve">Saturday scoring</t>
  </si>
  <si>
    <t xml:space="preserve">Strength curve with medal; curve penalizes Z4/Z5, which suits the 7/10 cap</t>
  </si>
  <si>
    <t xml:space="preserve">Decided — scored</t>
  </si>
  <si>
    <t xml:space="preserve">Left/right logging in app</t>
  </si>
  <si>
    <t xml:space="preserve">Log right-side load; note left only if different</t>
  </si>
  <si>
    <t xml:space="preserve">Separate Code ask later</t>
  </si>
  <si>
    <t xml:space="preserve">HEP in app</t>
  </si>
  <si>
    <t xml:space="preserve">Rebuild as ~12–15 min Gym block + Float items</t>
  </si>
  <si>
    <t xml:space="preserve">Overhead pressing</t>
  </si>
  <si>
    <t xml:space="preserve">Excluded</t>
  </si>
  <si>
    <t xml:space="preserve">Ask at surgical consult</t>
  </si>
  <si>
    <t xml:space="preserve">8-Week Calendar</t>
  </si>
  <si>
    <t xml:space="preserve">Dates calculate from the block start on the Overview tab</t>
  </si>
  <si>
    <t xml:space="preserve">Week</t>
  </si>
  <si>
    <t xml:space="preserve">Week of</t>
  </si>
  <si>
    <t xml:space="preserve">Hinge Lead · Rack Pull</t>
  </si>
  <si>
    <t xml:space="preserve">Squat + Push · SB Squat</t>
  </si>
  <si>
    <t xml:space="preserve">Pull + Hinge · RDL</t>
  </si>
  <si>
    <t xml:space="preserve">Full Range</t>
  </si>
  <si>
    <t xml:space="preserve">CS4 Recovery</t>
  </si>
  <si>
    <t xml:space="preserve">Hinge Lead · Rack Pull + L/R retest</t>
  </si>
  <si>
    <t xml:space="preserve">Squat + Push · SB Squat + L/R retest</t>
  </si>
  <si>
    <t xml:space="preserve">Pull + Hinge · RDL + L/R retest</t>
  </si>
  <si>
    <t xml:space="preserve">Session Templates by Phase</t>
  </si>
  <si>
    <t xml:space="preserve">Sets × reps for each phase · Baseline wk 1–2 · Volume wk 3–5 · Performance wk 6–7 · Deload wk 8</t>
  </si>
  <si>
    <t xml:space="preserve">Order</t>
  </si>
  <si>
    <t xml:space="preserve">Slot</t>
  </si>
  <si>
    <t xml:space="preserve">Exercise</t>
  </si>
  <si>
    <t xml:space="preserve">Baseline (wk 1–2)</t>
  </si>
  <si>
    <t xml:space="preserve">Volume (wk 3–5)</t>
  </si>
  <si>
    <t xml:space="preserve">Performance (wk 6–7)</t>
  </si>
  <si>
    <t xml:space="preserve">Deload (wk 8)</t>
  </si>
  <si>
    <t xml:space="preserve">Cue</t>
  </si>
  <si>
    <t xml:space="preserve">App status</t>
  </si>
  <si>
    <t xml:space="preserve">Activation</t>
  </si>
  <si>
    <t xml:space="preserve">Band Pull-Aparts</t>
  </si>
  <si>
    <t xml:space="preserve">2×15</t>
  </si>
  <si>
    <t xml:space="preserve">Light, first in session</t>
  </si>
  <si>
    <t xml:space="preserve">Existing key</t>
  </si>
  <si>
    <t xml:space="preserve">Main</t>
  </si>
  <si>
    <t xml:space="preserve">Max 2 unlogged ramp sets; double overhand</t>
  </si>
  <si>
    <t xml:space="preserve">Accessory 1</t>
  </si>
  <si>
    <t xml:space="preserve">Bulgarian Split Squat</t>
  </si>
  <si>
    <t xml:space="preserve">3×8–10/leg</t>
  </si>
  <si>
    <t xml:space="preserve">3×10–12/leg</t>
  </si>
  <si>
    <t xml:space="preserve">3×8/leg, heavier</t>
  </si>
  <si>
    <t xml:space="preserve">2×8/leg</t>
  </si>
  <si>
    <t xml:space="preserve">DB in each hand, arms straight</t>
  </si>
  <si>
    <t xml:space="preserve">Accessory 2</t>
  </si>
  <si>
    <t xml:space="preserve">Hip Thrust</t>
  </si>
  <si>
    <t xml:space="preserve">Full hip extension, pause at top</t>
  </si>
  <si>
    <t xml:space="preserve">Check key</t>
  </si>
  <si>
    <t xml:space="preserve">Accessory 3</t>
  </si>
  <si>
    <t xml:space="preserve">Pallof Press</t>
  </si>
  <si>
    <t xml:space="preserve">3×8–10/side</t>
  </si>
  <si>
    <t xml:space="preserve">3×10–12/side</t>
  </si>
  <si>
    <t xml:space="preserve">3×8/side, heavier</t>
  </si>
  <si>
    <t xml:space="preserve">2×8/side</t>
  </si>
  <si>
    <t xml:space="preserve">Neutral grip, static hold</t>
  </si>
  <si>
    <t xml:space="preserve">Right-side check</t>
  </si>
  <si>
    <t xml:space="preserve">Suitcase Carry</t>
  </si>
  <si>
    <t xml:space="preserve">2×40 yd/side</t>
  </si>
  <si>
    <t xml:space="preserve">1×40 yd/side · retest</t>
  </si>
  <si>
    <t xml:space="preserve">Right first; log load per side</t>
  </si>
  <si>
    <t xml:space="preserve">Cardio</t>
  </si>
  <si>
    <t xml:space="preserve">25–35 min</t>
  </si>
  <si>
    <t xml:space="preserve">≤5 min Z3, no Z4/Z5; lap swim OK on either day</t>
  </si>
  <si>
    <t xml:space="preserve">Scapular Wall Slide</t>
  </si>
  <si>
    <t xml:space="preserve">2×10</t>
  </si>
  <si>
    <t xml:space="preserve">Slow, elbows on wall</t>
  </si>
  <si>
    <t xml:space="preserve">Hands on handles; no barbell grip</t>
  </si>
  <si>
    <t xml:space="preserve">Chest Press</t>
  </si>
  <si>
    <t xml:space="preserve">Single-arm floor press; floor sets the 90° stop; right first</t>
  </si>
  <si>
    <t xml:space="preserve">Rope Triceps Pressdown</t>
  </si>
  <si>
    <t xml:space="preserve">Single-arm; pushdown only; right first</t>
  </si>
  <si>
    <t xml:space="preserve">Cable Pullover</t>
  </si>
  <si>
    <t xml:space="preserve">Arms nearly straight; lats without elbow bend</t>
  </si>
  <si>
    <t xml:space="preserve">Plate Pinch Hold</t>
  </si>
  <si>
    <t xml:space="preserve">2×20–30 s/side</t>
  </si>
  <si>
    <t xml:space="preserve">1×20–30 s/side · retest</t>
  </si>
  <si>
    <t xml:space="preserve">Thumb flat on one face, fingers flat on other; plate off the floor</t>
  </si>
  <si>
    <t xml:space="preserve">NEW — add key (seconds)</t>
  </si>
  <si>
    <t xml:space="preserve">Same as Tuesday</t>
  </si>
  <si>
    <t xml:space="preserve">Prone Y-Raises</t>
  </si>
  <si>
    <t xml:space="preserve">Light</t>
  </si>
  <si>
    <t xml:space="preserve">Barbell; max 2 unlogged ramp sets</t>
  </si>
  <si>
    <t xml:space="preserve">Existing RDL key (Meso 02 history is barbell)</t>
  </si>
  <si>
    <t xml:space="preserve">Neutral-Grip Row (cable or DB)</t>
  </si>
  <si>
    <t xml:space="preserve">Single-arm; right first; stop at first sign of pain</t>
  </si>
  <si>
    <t xml:space="preserve">DB Step-Up</t>
  </si>
  <si>
    <t xml:space="preserve">DBs at sides, arms straight</t>
  </si>
  <si>
    <t xml:space="preserve">Core (Dead Bug or similar)</t>
  </si>
  <si>
    <t xml:space="preserve">Ribs down, slow</t>
  </si>
  <si>
    <t xml:space="preserve">Effort cap 7/10 all session</t>
  </si>
  <si>
    <t xml:space="preserve">Strength</t>
  </si>
  <si>
    <t xml:space="preserve">Leg Press</t>
  </si>
  <si>
    <t xml:space="preserve">3×10 · 3 s lower</t>
  </si>
  <si>
    <t xml:space="preserve">3×10 · 1 s pause</t>
  </si>
  <si>
    <t xml:space="preserve">3×10 · normal, slightly heavier</t>
  </si>
  <si>
    <t xml:space="preserve">Full depth</t>
  </si>
  <si>
    <t xml:space="preserve">Single-Leg RDL</t>
  </si>
  <si>
    <t xml:space="preserve">3×8/leg · 3 s lower</t>
  </si>
  <si>
    <t xml:space="preserve">3×8/leg · 1 s pause</t>
  </si>
  <si>
    <t xml:space="preserve">3×8/leg · normal tempo</t>
  </si>
  <si>
    <t xml:space="preserve">Balance-forward</t>
  </si>
  <si>
    <t xml:space="preserve">Backward Walking Lunges</t>
  </si>
  <si>
    <t xml:space="preserve">Full range</t>
  </si>
  <si>
    <t xml:space="preserve">Band Face Pull</t>
  </si>
  <si>
    <t xml:space="preserve">3×12</t>
  </si>
  <si>
    <t xml:space="preserve">2×12</t>
  </si>
  <si>
    <t xml:space="preserve">Light band; no tempo cue</t>
  </si>
  <si>
    <t xml:space="preserve">Conditioning</t>
  </si>
  <si>
    <t xml:space="preserve">Sled Push</t>
  </si>
  <si>
    <t xml:space="preserve">5×20 yd</t>
  </si>
  <si>
    <t xml:space="preserve">2×20 yd</t>
  </si>
  <si>
    <t xml:space="preserve">Arms straight; replaces rower/SkiErg</t>
  </si>
  <si>
    <t xml:space="preserve">No key — add for tracking</t>
  </si>
  <si>
    <t xml:space="preserve">Cooldown</t>
  </si>
  <si>
    <t xml:space="preserve">Cardio Ramp</t>
  </si>
  <si>
    <t xml:space="preserve">8–10 min Z2</t>
  </si>
  <si>
    <t xml:space="preserve">Bike or incline walk</t>
  </si>
  <si>
    <t xml:space="preserve">Untracked (OK)</t>
  </si>
  <si>
    <t xml:space="preserve">Recovery</t>
  </si>
  <si>
    <t xml:space="preserve">As written</t>
  </si>
  <si>
    <t xml:space="preserve">Home Exercise Program (rebuilt for cubital tunnel)</t>
  </si>
  <si>
    <t xml:space="preserve">Gym block ~12–15 min before training · Float items through the day</t>
  </si>
  <si>
    <t xml:space="preserve">Block</t>
  </si>
  <si>
    <t xml:space="preserve">Dose</t>
  </si>
  <si>
    <t xml:space="preserve">How</t>
  </si>
  <si>
    <t xml:space="preserve">Gym</t>
  </si>
  <si>
    <t xml:space="preserve">Scapular Wall Slides</t>
  </si>
  <si>
    <t xml:space="preserve">Slow, elbows stay on the wall</t>
  </si>
  <si>
    <t xml:space="preserve">Kept</t>
  </si>
  <si>
    <t xml:space="preserve">Pillowcase Wall Isometric</t>
  </si>
  <si>
    <t xml:space="preserve">5 × 5 s holds</t>
  </si>
  <si>
    <t xml:space="preserve">As OT taught</t>
  </si>
  <si>
    <t xml:space="preserve">Levator Stretch</t>
  </si>
  <si>
    <t xml:space="preserve">2×30 s/side</t>
  </si>
  <si>
    <t xml:space="preserve">Keep the stretching arm straight; supine preferred per OT</t>
  </si>
  <si>
    <t xml:space="preserve">Finger Spreads</t>
  </si>
  <si>
    <t xml:space="preserve">2×15 each hand</t>
  </si>
  <si>
    <t xml:space="preserve">Rubber band around fingers, or spread against the other hand</t>
  </si>
  <si>
    <t xml:space="preserve">New — ulnar hand muscles</t>
  </si>
  <si>
    <t xml:space="preserve">5 lb Iron Grip plate; thumb flat one face, fingers flat other; off the floor, arm straight; right first</t>
  </si>
  <si>
    <t xml:space="preserve">New — same setup every time</t>
  </si>
  <si>
    <t xml:space="preserve">Ulnar Nerve Slider</t>
  </si>
  <si>
    <t xml:space="preserve">2×8/arm, both arms</t>
  </si>
  <si>
    <t xml:space="preserve">Arm out, palm up: bend elbow + tilt head toward arm, straighten elbow + tilt head away. Smooth, never a stretch</t>
  </si>
  <si>
    <t xml:space="preserve">New — moved from Float</t>
  </si>
  <si>
    <t xml:space="preserve">Radial Nerve Glide (Dr. Zak)</t>
  </si>
  <si>
    <t xml:space="preserve">2×8/arm</t>
  </si>
  <si>
    <t xml:space="preserve">Thumb tucked into fist, elbow straight, push hand back and away from body, tilt head to the opposite side</t>
  </si>
  <si>
    <t xml:space="preserve">New — from chiro 10/7</t>
  </si>
  <si>
    <t xml:space="preserve">Float</t>
  </si>
  <si>
    <t xml:space="preserve">Night elbow position</t>
  </si>
  <si>
    <t xml:space="preserve">Nightly, both arms</t>
  </si>
  <si>
    <t xml:space="preserve">Towel wrap or soft splint so elbows don't stay deeply bent during sleep</t>
  </si>
  <si>
    <t xml:space="preserve">Reuses night splint log</t>
  </si>
  <si>
    <t xml:space="preserve">Daytime habits</t>
  </si>
  <si>
    <t xml:space="preserve">All day</t>
  </si>
  <si>
    <t xml:space="preserve">Don't lean on elbows; switch hands on long phone holds; light hands on bike bars</t>
  </si>
  <si>
    <t xml:space="preserve">Note only</t>
  </si>
  <si>
    <t xml:space="preserve">Stop signal</t>
  </si>
  <si>
    <t xml:space="preserve">Tingling that increases during a glide or lingers afterward → stop glides for that day</t>
  </si>
  <si>
    <t xml:space="preserve">Library · reference (not scheduled, not logged)</t>
  </si>
  <si>
    <t xml:space="preserve">Library</t>
  </si>
  <si>
    <t xml:space="preserve">Prone chest stretch on chair</t>
  </si>
  <si>
    <t xml:space="preserve">3×/day · no aggravation</t>
  </si>
  <si>
    <t xml:space="preserve">Standing wall ball circles</t>
  </si>
  <si>
    <t xml:space="preserve">1–3×/day · 1 min hold</t>
  </si>
  <si>
    <t xml:space="preserve">Elbow distraction self mobilization — retire pending</t>
  </si>
  <si>
    <t xml:space="preserve">3×10 oscillations or 10 s holds</t>
  </si>
  <si>
    <t xml:space="preserve">Wrist AROM: radial–ulnar deviation — retire pending</t>
  </si>
  <si>
    <t xml:space="preserve">3×10</t>
  </si>
  <si>
    <t xml:space="preserve">Full plank w/ scapular protraction–retraction</t>
  </si>
  <si>
    <t xml:space="preserve">5 reps · 10–15 s hold</t>
  </si>
  <si>
    <t xml:space="preserve">Isometric internal rotation</t>
  </si>
  <si>
    <t xml:space="preserve">Standing subscapularis lift-off</t>
  </si>
  <si>
    <t xml:space="preserve">3–5 reps</t>
  </si>
  <si>
    <t xml:space="preserve">Seated wrist flexion stretch</t>
  </si>
  <si>
    <t xml:space="preserve">10–30 s hold</t>
  </si>
  <si>
    <t xml:space="preserve">Vibration desensitization (electric toothbrush)</t>
  </si>
  <si>
    <t xml:space="preserve">Along radial distribution</t>
  </si>
  <si>
    <t xml:space="preserve">Wall push-ups (dormant)</t>
  </si>
  <si>
    <t xml:space="preserve">Goal met 8/12</t>
  </si>
  <si>
    <t xml:space="preserve">Standing bicep stretch at wall (dormant)</t>
  </si>
  <si>
    <t xml:space="preserve">Deprioritized per 8/11 OT</t>
  </si>
  <si>
    <t xml:space="preserve">AROM/PROM elbow flex–ext + pronation–supination — retire pending</t>
  </si>
  <si>
    <t xml:space="preserve">5 reps per bout</t>
  </si>
  <si>
    <t xml:space="preserve">Finkelstein stretch</t>
  </si>
  <si>
    <t xml:space="preserve">3–5 reps · 2×/day</t>
  </si>
  <si>
    <t xml:space="preserve">Tennis elbow self massage (silicone cupping)</t>
  </si>
  <si>
    <t xml:space="preserve">5–10 min gentle</t>
  </si>
  <si>
    <t xml:space="preserve">Doorway stretch</t>
  </si>
  <si>
    <t xml:space="preserve">3×/day · no forward head</t>
  </si>
  <si>
    <t xml:space="preserve">Lat stretch</t>
  </si>
  <si>
    <t xml:space="preserve">2–3 reps, 10–30+ s</t>
  </si>
  <si>
    <t xml:space="preserve">Calf stretching</t>
  </si>
  <si>
    <t xml:space="preserve">Daily · plantar fasciitis</t>
  </si>
  <si>
    <t xml:space="preserve">KT taping</t>
  </si>
  <si>
    <t xml:space="preserve">As needed · plantar fasciitis</t>
  </si>
  <si>
    <t xml:space="preserve">Diagonal / fascial line stretch</t>
  </si>
  <si>
    <t xml:space="preserve">Right-Side Tracker</t>
  </si>
  <si>
    <t xml:space="preserve">Yellow cells are yours to fill in. R/L % calculates; under ~90% means the right side is lagging.</t>
  </si>
  <si>
    <t xml:space="preserve">Grey row is an example of the format only.</t>
  </si>
  <si>
    <t xml:space="preserve">Date</t>
  </si>
  <si>
    <t xml:space="preserve">Measure</t>
  </si>
  <si>
    <t xml:space="preserve">Right</t>
  </si>
  <si>
    <t xml:space="preserve">Left</t>
  </si>
  <si>
    <t xml:space="preserve">R/L %</t>
  </si>
  <si>
    <t xml:space="preserve">Ex.</t>
  </si>
  <si>
    <t xml:space="preserve">Oct 8</t>
  </si>
  <si>
    <t xml:space="preserve">Plate Pinch Hold (sec, 5 lb)</t>
  </si>
  <si>
    <t xml:space="preserve">Example — right slipped first</t>
  </si>
  <si>
    <t xml:space="preserve">Plate Pinch Hold (sec)</t>
  </si>
  <si>
    <t xml:space="preserve">Suitcase Carry (lb)</t>
  </si>
  <si>
    <t xml:space="preserve">SA Chest Press (lb)</t>
  </si>
  <si>
    <t xml:space="preserve">SA Neutral-Grip Row (lb)</t>
  </si>
  <si>
    <t xml:space="preserve">SA Triceps Pressdown (lb)</t>
  </si>
  <si>
    <t xml:space="preserve">Also: photo of both hands (palm down, web space visible) at weeks 1, 4 and 8.</t>
  </si>
  <si>
    <t xml:space="preserve">Claude Code Handoff (paste as-is)</t>
  </si>
  <si>
    <t xml:space="preserve">Two separate asks · send #1, ship it, then send #2</t>
  </si>
  <si>
    <t xml:space="preserve">Ask #1 — Meso 03 (send first)</t>
  </si>
  <si>
    <t xml:space="preserve">Don't edit anything yet. Show me the diff first; commit and push as separate steps.</t>
  </si>
  <si>
    <t xml:space="preserve">Add Meso 03 to index.html, following the "Adding a Meso 03" recipe in CLAUDE.md</t>
  </si>
  <si>
    <t xml:space="preserve">(BLOCKS row, MESO03_* window + phases, day templates, BLOCK_LIFTS, BLOCK_OG,</t>
  </si>
  <si>
    <t xml:space="preserve">&lt;optgroup id="ogMeso03"&gt;). Also add RKD_Mesocycle_03.md to match the 01/02 docs.</t>
  </si>
  <si>
    <t xml:space="preserve">WINDOW: Mon 2026-10-19 to Sun 2026-12-13 (8 weeks), id meso03, label "Meso 3".</t>
  </si>
  <si>
    <t xml:space="preserve">PHASES: add PHASE_PLAN.meso03 = Baseline, Baseline, Volume, Volume, Volume,</t>
  </si>
  <si>
    <t xml:space="preserve">Performance, Performance, Deload. "Deload" is a new phase name; make sure</t>
  </si>
  <si>
    <t xml:space="preserve">blockTag/blockText show it.</t>
  </si>
  <si>
    <t xml:space="preserve">Main lift rx:  Baseline 4x6 @ RPE 6-7 | Volume 5x6-8 @ RPE 7-8 |</t>
  </si>
  <si>
    <t xml:space="preserve">               Performance 4x4-5 @ RPE 8 | Deload 3x5 @ RPE 6</t>
  </si>
  <si>
    <t xml:space="preserve">Accessory rx:  Baseline 3x8-10 | Volume 3x10-12 | Performance 3x8, heavier |</t>
  </si>
  <si>
    <t xml:space="preserve">               Deload 2x8</t>
  </si>
  <si>
    <t xml:space="preserve">Main lifts note: max 2 warm-up ramp sets, not logged; logged sets are working sets.</t>
  </si>
  <si>
    <t xml:space="preserve">MONDAY - Hinge Lead (meso03Mon)</t>
  </si>
  <si>
    <t xml:space="preserve">  Band Pull-Aparts 2x15 (activation)</t>
  </si>
  <si>
    <t xml:space="preserve">  Rack Pull (main)</t>
  </si>
  <si>
    <t xml:space="preserve">  Bulgarian Split Squat, per leg, DB in each hand</t>
  </si>
  <si>
    <t xml:space="preserve">  Hip Thrust</t>
  </si>
  <si>
    <t xml:space="preserve">  Pallof Press, per side</t>
  </si>
  <si>
    <t xml:space="preserve">  Suitcase Carry 2x40 yd per side, right first (Deload 1x)</t>
  </si>
  <si>
    <t xml:space="preserve">WEDNESDAY - Squat + Push (meso03Wed)</t>
  </si>
  <si>
    <t xml:space="preserve">  Scapular Wall Slide 2x10 (activation)</t>
  </si>
  <si>
    <t xml:space="preserve">  Safety Bar Squat (main)</t>
  </si>
  <si>
    <t xml:space="preserve">  Chest Press, single-arm floor press, per side, right first</t>
  </si>
  <si>
    <t xml:space="preserve">  Rope Triceps Pressdown, single-arm, per side, right first</t>
  </si>
  <si>
    <t xml:space="preserve">  Cable Pullover</t>
  </si>
  <si>
    <t xml:space="preserve">  Plate Pinch Hold 2x20-30 s per side, right first (NEW exercise; Deload 1x)</t>
  </si>
  <si>
    <t xml:space="preserve">FRIDAY - Pull + Hinge (meso03Fri)</t>
  </si>
  <si>
    <t xml:space="preserve">  Prone Y-Raises 2x15 (activation)</t>
  </si>
  <si>
    <t xml:space="preserve">  Romanian Deadlift (main)</t>
  </si>
  <si>
    <t xml:space="preserve">  Neutral-Grip Row (cable or DB), single-arm, per side, right first</t>
  </si>
  <si>
    <t xml:space="preserve">  DB Step-Up, per leg</t>
  </si>
  <si>
    <t xml:space="preserve">  Core (Dead Bug or similar), per side</t>
  </si>
  <si>
    <t xml:space="preserve">SATURDAY - Full Range (new meso03Sat template for the Meso 03 window; the</t>
  </si>
  <si>
    <t xml:space="preserve">shared "sat" Conditioning Sub stays as-is for history and outside the window)</t>
  </si>
  <si>
    <t xml:space="preserve">  Score it like Mon/Wed/Fri: strength curve, add to LIFT_DAYS so it gets a</t>
  </si>
  <si>
    <t xml:space="preserve">  medal, and count it in weekly totals. Show "effort cap 7/10" in the session.</t>
  </si>
  <si>
    <t xml:space="preserve">  Fixed sets all block (does not follow the phase rx above):</t>
  </si>
  <si>
    <t xml:space="preserve">  Leg Press 3x10, full depth</t>
  </si>
  <si>
    <t xml:space="preserve">  Single-Leg RDL 3x8 per leg</t>
  </si>
  <si>
    <t xml:space="preserve">  Backward Walking Lunges 3x8 per leg</t>
  </si>
  <si>
    <t xml:space="preserve">  Band Face Pull 3x12</t>
  </si>
  <si>
    <t xml:space="preserve">  Sled Push 5x20 yd, arms straight</t>
  </si>
  <si>
    <t xml:space="preserve">  Cardio Ramp 8-10 min, Zone 2 bike or incline walk</t>
  </si>
  <si>
    <t xml:space="preserve">  Tempo cue by phase: Baseline 3 s lowering | Volume 1 s pause at bottom |</t>
  </si>
  <si>
    <t xml:space="preserve">  Performance normal tempo, slightly heavier | Deload 2 sets each</t>
  </si>
  <si>
    <t xml:space="preserve">Tue/Thu (Zone 2) and Sun (CS4) are shared days; leave them unchanged.</t>
  </si>
  <si>
    <t xml:space="preserve">Exercises: reuse existing key: values so PR history carries over. Back Squat,</t>
  </si>
  <si>
    <t xml:space="preserve">Goblet Squat and Floor Push-Ups are not in Meso 03. Check whether Safety Bar</t>
  </si>
  <si>
    <t xml:space="preserve">Squat and Hip Thrust have their own keys; if not, add them. Add Plate Pinch</t>
  </si>
  <si>
    <t xml:space="preserve">Hold as a new keyed exercise logged in seconds, and give Sled Push a key.</t>
  </si>
  <si>
    <t xml:space="preserve">Put single-arm/per-side details in rx/cue text, not the exercise name.</t>
  </si>
  <si>
    <t xml:space="preserve">Add FORM_GLOSSARY entries for Plate Pinch Hold and Safety Bar Squat if missing.</t>
  </si>
  <si>
    <t xml:space="preserve">Add tests for the meso03 window and phase plan (incl. Deload in week 8 and</t>
  </si>
  <si>
    <t xml:space="preserve">Off-block after Dec 13), then run ./test/run.sh before committing.</t>
  </si>
  <si>
    <t xml:space="preserve">Ask #2 — HEP rebuild (send after #1 ships)</t>
  </si>
  <si>
    <t xml:space="preserve">Rebuild HEP_BLOCKS in index.html (the HEP DETAIL TAB section). The July OT plan</t>
  </si>
  <si>
    <t xml:space="preserve">was for radial nerve / lateral elbow; I now have right cubital tunnel syndrome</t>
  </si>
  <si>
    <t xml:space="preserve">(left borderline), confirmed by nerve conduction study, and I'm no longer seeing</t>
  </si>
  <si>
    <t xml:space="preserve">OT. Update the section's header comment and HEP_Schedule_Final.md to match.</t>
  </si>
  <si>
    <t xml:space="preserve">Keep every existing key exactly as it is so logged history still lines up.</t>
  </si>
  <si>
    <t xml:space="preserve">1) "B1 Gym · pre-lift" (keep hepIdx 0 and auto-complete) becomes, in order:</t>
  </si>
  <si>
    <t xml:space="preserve">  - Scapular wall slides (keep b1_scapwallslides) · 2x10, slow, elbows stay on wall · reps</t>
  </si>
  <si>
    <t xml:space="preserve">  - Pillowcase isometric (keep b1_pillowcase) · 5 x 5 s holds · reps</t>
  </si>
  <si>
    <t xml:space="preserve">  - Levator scap stretch (keep b1_levator) · 2x30 s per side, keep the stretching</t>
  </si>
  <si>
    <t xml:space="preserve">    arm straight · timed · keep HEP_LEVATOR_NOTE</t>
  </si>
  <si>
    <t xml:space="preserve">  - NEW Finger spreads · 2x15 each hand, rubber band around fingers · reps</t>
  </si>
  <si>
    <t xml:space="preserve">  - NEW Plate pinch hold · 2x20-30 s per side, 5 lb plate, thumb flat on one face,</t>
  </si>
  <si>
    <t xml:space="preserve">    fingers flat on the other, arm straight, right first · timed</t>
  </si>
  <si>
    <t xml:space="preserve">  - NEW Ulnar nerve slider · 2x8 per arm, both arms · arm out, palm up: bend elbow</t>
  </si>
  <si>
    <t xml:space="preserve">    while tilting head toward that arm, straighten elbow while tilting head away;</t>
  </si>
  <si>
    <t xml:space="preserve">    smooth, never a stretch · reps</t>
  </si>
  <si>
    <t xml:space="preserve">  - NEW Radial nerve glide (chiro) · 2x8 per arm · thumb tucked into fist, elbow</t>
  </si>
  <si>
    <t xml:space="preserve">    straight, push hand back and away from body, tilt head to the opposite side · reps</t>
  </si>
  <si>
    <t xml:space="preserve">  Block note: "Stop the glides for the day if tingling increases or lingers."</t>
  </si>
  <si>
    <t xml:space="preserve">2) "Float · anytime" becomes:</t>
  </si>
  <si>
    <t xml:space="preserve">  - Night elbow position (keep float_nightsplint) · nightly, both arms, towel wrap</t>
  </si>
  <si>
    <t xml:space="preserve">    or soft splint so elbows don't stay deeply bent · log 1 when done</t>
  </si>
  <si>
    <t xml:space="preserve">  Block note: "Don't lean on elbows · switch hands on long phone holds · light</t>
  </si>
  <si>
    <t xml:space="preserve">  hands on bike bars."</t>
  </si>
  <si>
    <t xml:space="preserve">3) NEW third block "Library · reference" at the bottom, collapsed by default:</t>
  </si>
  <si>
    <t xml:space="preserve">  every other current HEP item (all remaining B1 and Float items, including the</t>
  </si>
  <si>
    <t xml:space="preserve">  two dormant ones), each showing its name, rx and note so I can use them as a</t>
  </si>
  <si>
    <t xml:space="preserve">  stretch reminder. No log inputs, not counted toward completion or</t>
  </si>
  <si>
    <t xml:space="preserve">  autoCheckHepBlocks, keys unchanged. Keep the dormant reasons visible here.</t>
  </si>
  <si>
    <t xml:space="preserve">Run ./test/run.sh before committing, and screenshot the HEP tab at 390px wide</t>
  </si>
  <si>
    <t xml:space="preserve">per CLAUDE.md so I can check the layout.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</si>
</sst>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\ mmm\ d&quot;, &quot;yyyy"/>
    <numFmt numFmtId="166" formatCode="mmm\ d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name val="Courier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FEFEF"/>
      </patternFill>
    </fill>
    <fill>
      <patternFill patternType="solid">
        <fgColor rgb="FFDCE6F1"/>
        <bgColor rgb="FFE2EFDA"/>
      </patternFill>
    </fill>
    <fill>
      <patternFill patternType="solid">
        <fgColor rgb="FFEFEFEF"/>
        <bgColor rgb="FFEDEDE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CE6F1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46314</v>
      </c>
      <c r="C4" s="2" t="s">
        <v>3</v>
      </c>
    </row>
    <row r="5" customFormat="false" ht="15" hidden="false" customHeight="false" outlineLevel="0" collapsed="false">
      <c r="A5" s="3" t="s">
        <v>4</v>
      </c>
      <c r="B5" s="5" t="n">
        <f aca="false">B4+8*7-1</f>
        <v>46369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</row>
    <row r="9" customFormat="false" ht="23.85" hidden="false" customHeight="false" outlineLevel="0" collapsed="false">
      <c r="A9" s="8" t="s">
        <v>11</v>
      </c>
      <c r="B9" s="8" t="s">
        <v>12</v>
      </c>
      <c r="C9" s="8" t="s">
        <v>13</v>
      </c>
      <c r="D9" s="8" t="s">
        <v>14</v>
      </c>
      <c r="E9" s="8" t="s">
        <v>15</v>
      </c>
    </row>
    <row r="10" customFormat="false" ht="15" hidden="false" customHeight="false" outlineLevel="0" collapsed="false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</row>
    <row r="11" customFormat="false" ht="15" hidden="false" customHeight="false" outlineLevel="0" collapsed="false">
      <c r="A11" s="10" t="s">
        <v>21</v>
      </c>
      <c r="B11" s="10" t="s">
        <v>22</v>
      </c>
      <c r="C11" s="10" t="s">
        <v>23</v>
      </c>
      <c r="D11" s="10" t="s">
        <v>24</v>
      </c>
      <c r="E11" s="10" t="s">
        <v>25</v>
      </c>
    </row>
    <row r="12" customFormat="false" ht="23.85" hidden="false" customHeight="false" outlineLevel="0" collapsed="false">
      <c r="A12" s="11" t="s">
        <v>26</v>
      </c>
      <c r="B12" s="11" t="s">
        <v>27</v>
      </c>
      <c r="C12" s="11" t="s">
        <v>28</v>
      </c>
      <c r="D12" s="11" t="s">
        <v>29</v>
      </c>
      <c r="E12" s="11" t="s">
        <v>30</v>
      </c>
    </row>
    <row r="14" customFormat="false" ht="15" hidden="false" customHeight="false" outlineLevel="0" collapsed="false">
      <c r="A14" s="6" t="s">
        <v>31</v>
      </c>
    </row>
    <row r="15" customFormat="false" ht="15" hidden="false" customHeight="false" outlineLevel="0" collapsed="false">
      <c r="A15" s="7" t="s">
        <v>32</v>
      </c>
      <c r="B15" s="7" t="s">
        <v>33</v>
      </c>
      <c r="C15" s="7" t="s">
        <v>8</v>
      </c>
      <c r="D15" s="7" t="s">
        <v>34</v>
      </c>
      <c r="E15" s="7" t="s">
        <v>35</v>
      </c>
    </row>
    <row r="16" customFormat="false" ht="15" hidden="false" customHeight="false" outlineLevel="0" collapsed="false">
      <c r="A16" s="12" t="s">
        <v>36</v>
      </c>
      <c r="B16" s="12" t="s">
        <v>37</v>
      </c>
      <c r="C16" s="12" t="s">
        <v>38</v>
      </c>
      <c r="D16" s="12" t="s">
        <v>39</v>
      </c>
      <c r="E16" s="12" t="s">
        <v>40</v>
      </c>
    </row>
    <row r="17" customFormat="false" ht="15" hidden="false" customHeight="false" outlineLevel="0" collapsed="false">
      <c r="A17" s="12" t="s">
        <v>41</v>
      </c>
      <c r="B17" s="12" t="s">
        <v>42</v>
      </c>
      <c r="C17" s="12" t="s">
        <v>43</v>
      </c>
      <c r="D17" s="12" t="s">
        <v>44</v>
      </c>
      <c r="E17" s="12" t="s">
        <v>45</v>
      </c>
    </row>
    <row r="18" customFormat="false" ht="15" hidden="false" customHeight="false" outlineLevel="0" collapsed="false">
      <c r="A18" s="12" t="s">
        <v>46</v>
      </c>
      <c r="B18" s="12" t="s">
        <v>47</v>
      </c>
      <c r="C18" s="12" t="s">
        <v>48</v>
      </c>
      <c r="D18" s="12" t="s">
        <v>39</v>
      </c>
      <c r="E18" s="12" t="s">
        <v>49</v>
      </c>
    </row>
    <row r="19" customFormat="false" ht="15" hidden="false" customHeight="false" outlineLevel="0" collapsed="false">
      <c r="A19" s="12" t="s">
        <v>50</v>
      </c>
      <c r="B19" s="12" t="s">
        <v>42</v>
      </c>
      <c r="C19" s="12" t="s">
        <v>43</v>
      </c>
      <c r="D19" s="12" t="s">
        <v>44</v>
      </c>
      <c r="E19" s="12" t="s">
        <v>51</v>
      </c>
    </row>
    <row r="20" customFormat="false" ht="15" hidden="false" customHeight="false" outlineLevel="0" collapsed="false">
      <c r="A20" s="12" t="s">
        <v>52</v>
      </c>
      <c r="B20" s="12" t="s">
        <v>53</v>
      </c>
      <c r="C20" s="12" t="s">
        <v>54</v>
      </c>
      <c r="D20" s="12" t="s">
        <v>39</v>
      </c>
      <c r="E20" s="12" t="s">
        <v>40</v>
      </c>
    </row>
    <row r="21" customFormat="false" ht="23.85" hidden="false" customHeight="false" outlineLevel="0" collapsed="false">
      <c r="A21" s="12" t="s">
        <v>55</v>
      </c>
      <c r="B21" s="12" t="s">
        <v>56</v>
      </c>
      <c r="C21" s="12" t="s">
        <v>43</v>
      </c>
      <c r="D21" s="12" t="s">
        <v>57</v>
      </c>
      <c r="E21" s="12" t="s">
        <v>58</v>
      </c>
    </row>
    <row r="22" customFormat="false" ht="15" hidden="false" customHeight="false" outlineLevel="0" collapsed="false">
      <c r="A22" s="12" t="s">
        <v>59</v>
      </c>
      <c r="B22" s="12" t="s">
        <v>60</v>
      </c>
      <c r="C22" s="12" t="s">
        <v>43</v>
      </c>
      <c r="D22" s="12" t="s">
        <v>61</v>
      </c>
      <c r="E22" s="12" t="s">
        <v>62</v>
      </c>
    </row>
    <row r="24" customFormat="false" ht="15" hidden="false" customHeight="false" outlineLevel="0" collapsed="false">
      <c r="A24" s="6" t="s">
        <v>63</v>
      </c>
    </row>
    <row r="25" customFormat="false" ht="27.75" hidden="false" customHeight="true" outlineLevel="0" collapsed="false">
      <c r="A25" s="0" t="s">
        <v>64</v>
      </c>
      <c r="B25" s="13" t="inlineStr">
        <is>
          <t>Warm-up ramps: 1–2 ramp sets, not logged; then all working sets at one weight. Logged sets are working sets (keeps sessions ~50 min).</t>
        </is>
      </c>
      <c r="C25" s="13"/>
      <c r="D25" s="13"/>
      <c r="E25" s="13"/>
    </row>
    <row r="26" customFormat="false" ht="27.75" hidden="false" customHeight="true" outlineLevel="0" collapsed="false">
      <c r="A26" s="0" t="s">
        <v>64</v>
      </c>
      <c r="B26" s="13" t="s">
        <v>66</v>
      </c>
      <c r="C26" s="13"/>
      <c r="D26" s="13"/>
      <c r="E26" s="13"/>
    </row>
    <row r="27" customFormat="false" ht="27.75" hidden="false" customHeight="true" outlineLevel="0" collapsed="false">
      <c r="A27" s="0" t="s">
        <v>64</v>
      </c>
      <c r="B27" s="13" t="s">
        <v>67</v>
      </c>
      <c r="C27" s="13"/>
      <c r="D27" s="13"/>
      <c r="E27" s="13"/>
    </row>
    <row r="28" customFormat="false" ht="27.75" hidden="false" customHeight="true" outlineLevel="0" collapsed="false">
      <c r="A28" s="0" t="s">
        <v>64</v>
      </c>
      <c r="B28" s="13" t="s">
        <v>68</v>
      </c>
      <c r="C28" s="13"/>
      <c r="D28" s="13"/>
      <c r="E28" s="13"/>
    </row>
    <row r="29" customFormat="false" ht="27.75" hidden="false" customHeight="true" outlineLevel="0" collapsed="false">
      <c r="A29" s="0" t="s">
        <v>64</v>
      </c>
      <c r="B29" s="13" t="s">
        <v>69</v>
      </c>
      <c r="C29" s="13"/>
      <c r="D29" s="13"/>
      <c r="E29" s="13"/>
    </row>
    <row r="30" customFormat="false" ht="27.75" hidden="false" customHeight="true" outlineLevel="0" collapsed="false">
      <c r="A30" s="0" t="s">
        <v>64</v>
      </c>
      <c r="B30" s="13" t="s">
        <v>70</v>
      </c>
      <c r="C30" s="13"/>
      <c r="D30" s="13"/>
      <c r="E30" s="13"/>
    </row>
    <row r="31" customFormat="false" ht="27.75" hidden="false" customHeight="true" outlineLevel="0" collapsed="false">
      <c r="A31" s="0" t="s">
        <v>64</v>
      </c>
      <c r="B31" s="13" t="s">
        <v>71</v>
      </c>
      <c r="C31" s="13"/>
      <c r="D31" s="13"/>
      <c r="E31" s="13"/>
    </row>
    <row r="33" customFormat="false" ht="15" hidden="false" customHeight="false" outlineLevel="0" collapsed="false">
      <c r="A33" s="6" t="s">
        <v>72</v>
      </c>
    </row>
    <row r="34" customFormat="false" ht="15" hidden="false" customHeight="false" outlineLevel="0" collapsed="false">
      <c r="A34" s="7" t="s">
        <v>73</v>
      </c>
      <c r="B34" s="7" t="s">
        <v>74</v>
      </c>
      <c r="C34" s="7"/>
      <c r="D34" s="7"/>
      <c r="E34" s="7" t="s">
        <v>75</v>
      </c>
    </row>
    <row r="35" customFormat="false" ht="15" hidden="false" customHeight="true" outlineLevel="0" collapsed="false">
      <c r="A35" s="12" t="s">
        <v>76</v>
      </c>
      <c r="B35" s="12" t="s">
        <v>77</v>
      </c>
      <c r="C35" s="12"/>
      <c r="D35" s="12"/>
      <c r="E35" s="12" t="s">
        <v>78</v>
      </c>
    </row>
    <row r="36" customFormat="false" ht="15" hidden="false" customHeight="true" outlineLevel="0" collapsed="false">
      <c r="A36" s="12" t="s">
        <v>79</v>
      </c>
      <c r="B36" s="12" t="s">
        <v>80</v>
      </c>
      <c r="C36" s="12"/>
      <c r="D36" s="12"/>
      <c r="E36" s="12" t="s">
        <v>81</v>
      </c>
    </row>
    <row r="37" customFormat="false" ht="15" hidden="false" customHeight="true" outlineLevel="0" collapsed="false">
      <c r="A37" s="12" t="s">
        <v>82</v>
      </c>
      <c r="B37" s="12" t="s">
        <v>83</v>
      </c>
      <c r="C37" s="12"/>
      <c r="D37" s="12"/>
      <c r="E37" s="12" t="s">
        <v>84</v>
      </c>
    </row>
    <row r="38" customFormat="false" ht="15" hidden="false" customHeight="true" outlineLevel="0" collapsed="false">
      <c r="A38" s="12" t="s">
        <v>85</v>
      </c>
      <c r="B38" s="12" t="s">
        <v>86</v>
      </c>
      <c r="C38" s="12"/>
      <c r="D38" s="12"/>
      <c r="E38" s="12" t="s">
        <v>84</v>
      </c>
    </row>
    <row r="39" customFormat="false" ht="15" hidden="false" customHeight="true" outlineLevel="0" collapsed="false">
      <c r="A39" s="12" t="s">
        <v>87</v>
      </c>
      <c r="B39" s="12" t="s">
        <v>88</v>
      </c>
      <c r="C39" s="12"/>
      <c r="D39" s="12"/>
      <c r="E39" s="12" t="s">
        <v>89</v>
      </c>
    </row>
  </sheetData>
  <mergeCells count="12">
    <mergeCell ref="B25:E25"/>
    <mergeCell ref="B26:E26"/>
    <mergeCell ref="B27:E27"/>
    <mergeCell ref="B28:E28"/>
    <mergeCell ref="B29:E29"/>
    <mergeCell ref="B30:E30"/>
    <mergeCell ref="B31:E31"/>
    <mergeCell ref="B35:D35"/>
    <mergeCell ref="B36:D36"/>
    <mergeCell ref="B37:D37"/>
    <mergeCell ref="B38:D38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0" min="4" style="0" width="18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7" t="s">
        <v>92</v>
      </c>
      <c r="B4" s="7" t="s">
        <v>6</v>
      </c>
      <c r="C4" s="7" t="s">
        <v>93</v>
      </c>
      <c r="D4" s="7" t="s">
        <v>36</v>
      </c>
      <c r="E4" s="7" t="s">
        <v>41</v>
      </c>
      <c r="F4" s="7" t="s">
        <v>46</v>
      </c>
      <c r="G4" s="7" t="s">
        <v>50</v>
      </c>
      <c r="H4" s="7" t="s">
        <v>52</v>
      </c>
      <c r="I4" s="7" t="s">
        <v>55</v>
      </c>
      <c r="J4" s="7" t="s">
        <v>59</v>
      </c>
    </row>
    <row r="5" customFormat="false" ht="23.85" hidden="false" customHeight="false" outlineLevel="0" collapsed="false">
      <c r="A5" s="8" t="n">
        <v>1</v>
      </c>
      <c r="B5" s="8" t="s">
        <v>11</v>
      </c>
      <c r="C5" s="14" t="n">
        <f aca="false">Overview!$B$4+7*(A5-1)</f>
        <v>46314</v>
      </c>
      <c r="D5" s="8" t="s">
        <v>94</v>
      </c>
      <c r="E5" s="8" t="s">
        <v>42</v>
      </c>
      <c r="F5" s="8" t="s">
        <v>95</v>
      </c>
      <c r="G5" s="8" t="s">
        <v>42</v>
      </c>
      <c r="H5" s="8" t="s">
        <v>96</v>
      </c>
      <c r="I5" s="8" t="s">
        <v>97</v>
      </c>
      <c r="J5" s="8" t="s">
        <v>98</v>
      </c>
    </row>
    <row r="6" customFormat="false" ht="23.85" hidden="false" customHeight="false" outlineLevel="0" collapsed="false">
      <c r="A6" s="8" t="n">
        <v>2</v>
      </c>
      <c r="B6" s="8" t="s">
        <v>11</v>
      </c>
      <c r="C6" s="14" t="n">
        <f aca="false">Overview!$B$4+7*(A6-1)</f>
        <v>46321</v>
      </c>
      <c r="D6" s="8" t="s">
        <v>94</v>
      </c>
      <c r="E6" s="8" t="s">
        <v>42</v>
      </c>
      <c r="F6" s="8" t="s">
        <v>95</v>
      </c>
      <c r="G6" s="8" t="s">
        <v>42</v>
      </c>
      <c r="H6" s="8" t="s">
        <v>96</v>
      </c>
      <c r="I6" s="8" t="s">
        <v>97</v>
      </c>
      <c r="J6" s="8" t="s">
        <v>98</v>
      </c>
    </row>
    <row r="7" customFormat="false" ht="23.85" hidden="false" customHeight="false" outlineLevel="0" collapsed="false">
      <c r="A7" s="9" t="n">
        <v>3</v>
      </c>
      <c r="B7" s="9" t="s">
        <v>16</v>
      </c>
      <c r="C7" s="15" t="n">
        <f aca="false">Overview!$B$4+7*(A7-1)</f>
        <v>46328</v>
      </c>
      <c r="D7" s="9" t="s">
        <v>94</v>
      </c>
      <c r="E7" s="9" t="s">
        <v>42</v>
      </c>
      <c r="F7" s="9" t="s">
        <v>95</v>
      </c>
      <c r="G7" s="9" t="s">
        <v>42</v>
      </c>
      <c r="H7" s="9" t="s">
        <v>96</v>
      </c>
      <c r="I7" s="9" t="s">
        <v>97</v>
      </c>
      <c r="J7" s="9" t="s">
        <v>98</v>
      </c>
    </row>
    <row r="8" customFormat="false" ht="23.85" hidden="false" customHeight="false" outlineLevel="0" collapsed="false">
      <c r="A8" s="9" t="n">
        <v>4</v>
      </c>
      <c r="B8" s="9" t="s">
        <v>16</v>
      </c>
      <c r="C8" s="15" t="n">
        <f aca="false">Overview!$B$4+7*(A8-1)</f>
        <v>46335</v>
      </c>
      <c r="D8" s="9" t="s">
        <v>94</v>
      </c>
      <c r="E8" s="9" t="s">
        <v>42</v>
      </c>
      <c r="F8" s="9" t="s">
        <v>95</v>
      </c>
      <c r="G8" s="9" t="s">
        <v>42</v>
      </c>
      <c r="H8" s="9" t="s">
        <v>96</v>
      </c>
      <c r="I8" s="9" t="s">
        <v>97</v>
      </c>
      <c r="J8" s="9" t="s">
        <v>98</v>
      </c>
    </row>
    <row r="9" customFormat="false" ht="23.85" hidden="false" customHeight="false" outlineLevel="0" collapsed="false">
      <c r="A9" s="9" t="n">
        <v>5</v>
      </c>
      <c r="B9" s="9" t="s">
        <v>16</v>
      </c>
      <c r="C9" s="15" t="n">
        <f aca="false">Overview!$B$4+7*(A9-1)</f>
        <v>46342</v>
      </c>
      <c r="D9" s="9" t="s">
        <v>94</v>
      </c>
      <c r="E9" s="9" t="s">
        <v>42</v>
      </c>
      <c r="F9" s="9" t="s">
        <v>95</v>
      </c>
      <c r="G9" s="9" t="s">
        <v>42</v>
      </c>
      <c r="H9" s="9" t="s">
        <v>96</v>
      </c>
      <c r="I9" s="9" t="s">
        <v>97</v>
      </c>
      <c r="J9" s="9" t="s">
        <v>98</v>
      </c>
    </row>
    <row r="10" customFormat="false" ht="23.85" hidden="false" customHeight="false" outlineLevel="0" collapsed="false">
      <c r="A10" s="10" t="n">
        <v>6</v>
      </c>
      <c r="B10" s="10" t="s">
        <v>21</v>
      </c>
      <c r="C10" s="16" t="n">
        <f aca="false">Overview!$B$4+7*(A10-1)</f>
        <v>46349</v>
      </c>
      <c r="D10" s="10" t="s">
        <v>94</v>
      </c>
      <c r="E10" s="10" t="s">
        <v>42</v>
      </c>
      <c r="F10" s="10" t="s">
        <v>95</v>
      </c>
      <c r="G10" s="10" t="s">
        <v>42</v>
      </c>
      <c r="H10" s="10" t="s">
        <v>96</v>
      </c>
      <c r="I10" s="10" t="s">
        <v>97</v>
      </c>
      <c r="J10" s="10" t="s">
        <v>98</v>
      </c>
    </row>
    <row r="11" customFormat="false" ht="23.85" hidden="false" customHeight="false" outlineLevel="0" collapsed="false">
      <c r="A11" s="10" t="n">
        <v>7</v>
      </c>
      <c r="B11" s="10" t="s">
        <v>21</v>
      </c>
      <c r="C11" s="16" t="n">
        <f aca="false">Overview!$B$4+7*(A11-1)</f>
        <v>46356</v>
      </c>
      <c r="D11" s="10" t="s">
        <v>94</v>
      </c>
      <c r="E11" s="10" t="s">
        <v>42</v>
      </c>
      <c r="F11" s="10" t="s">
        <v>95</v>
      </c>
      <c r="G11" s="10" t="s">
        <v>42</v>
      </c>
      <c r="H11" s="10" t="s">
        <v>96</v>
      </c>
      <c r="I11" s="10" t="s">
        <v>97</v>
      </c>
      <c r="J11" s="10" t="s">
        <v>98</v>
      </c>
    </row>
    <row r="12" customFormat="false" ht="23.85" hidden="false" customHeight="false" outlineLevel="0" collapsed="false">
      <c r="A12" s="11" t="n">
        <v>8</v>
      </c>
      <c r="B12" s="11" t="s">
        <v>26</v>
      </c>
      <c r="C12" s="17" t="n">
        <f aca="false">Overview!$B$4+7*(A12-1)</f>
        <v>46363</v>
      </c>
      <c r="D12" s="11" t="s">
        <v>99</v>
      </c>
      <c r="E12" s="11" t="s">
        <v>42</v>
      </c>
      <c r="F12" s="11" t="s">
        <v>100</v>
      </c>
      <c r="G12" s="11" t="s">
        <v>42</v>
      </c>
      <c r="H12" s="11" t="s">
        <v>101</v>
      </c>
      <c r="I12" s="11" t="s">
        <v>97</v>
      </c>
      <c r="J12" s="11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7" min="5" style="0" width="17"/>
    <col collapsed="false" customWidth="true" hidden="false" outlineLevel="0" max="8" min="8" style="0" width="15"/>
    <col collapsed="false" customWidth="true" hidden="false" outlineLevel="0" max="9" min="9" style="0" width="46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23.85" hidden="false" customHeight="false" outlineLevel="0" collapsed="false">
      <c r="A4" s="7" t="s">
        <v>32</v>
      </c>
      <c r="B4" s="7" t="s">
        <v>104</v>
      </c>
      <c r="C4" s="7" t="s">
        <v>105</v>
      </c>
      <c r="D4" s="7" t="s">
        <v>106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111</v>
      </c>
      <c r="J4" s="7" t="s">
        <v>112</v>
      </c>
    </row>
    <row r="5" customFormat="false" ht="15" hidden="false" customHeight="false" outlineLevel="0" collapsed="false">
      <c r="A5" s="12" t="s">
        <v>36</v>
      </c>
      <c r="B5" s="12" t="n">
        <v>1</v>
      </c>
      <c r="C5" s="12" t="s">
        <v>113</v>
      </c>
      <c r="D5" s="12" t="s">
        <v>114</v>
      </c>
      <c r="E5" s="12" t="s">
        <v>115</v>
      </c>
      <c r="F5" s="12" t="s">
        <v>115</v>
      </c>
      <c r="G5" s="12" t="s">
        <v>115</v>
      </c>
      <c r="H5" s="12" t="s">
        <v>115</v>
      </c>
      <c r="I5" s="12" t="s">
        <v>116</v>
      </c>
      <c r="J5" s="12" t="s">
        <v>117</v>
      </c>
    </row>
    <row r="6" customFormat="false" ht="15" hidden="false" customHeight="false" outlineLevel="0" collapsed="false">
      <c r="A6" s="18" t="s">
        <v>36</v>
      </c>
      <c r="B6" s="18" t="n">
        <v>2</v>
      </c>
      <c r="C6" s="18" t="s">
        <v>118</v>
      </c>
      <c r="D6" s="18" t="s">
        <v>38</v>
      </c>
      <c r="E6" s="18" t="inlineStr">
        <is>
          <t>4×6 @ RPE 6–7 · Start ~185 lb</t>
        </is>
      </c>
      <c r="F6" s="18" t="s">
        <v>18</v>
      </c>
      <c r="G6" s="18" t="s">
        <v>23</v>
      </c>
      <c r="H6" s="18" t="s">
        <v>28</v>
      </c>
      <c r="I6" s="18" t="inlineStr">
        <is>
          <t>1–2 ramp sets, not logged; then all working sets at one weight; double overhand</t>
        </is>
      </c>
      <c r="J6" s="18" t="s">
        <v>117</v>
      </c>
    </row>
    <row r="7" customFormat="false" ht="15" hidden="false" customHeight="false" outlineLevel="0" collapsed="false">
      <c r="A7" s="12" t="s">
        <v>36</v>
      </c>
      <c r="B7" s="12" t="n">
        <v>3</v>
      </c>
      <c r="C7" s="12" t="s">
        <v>120</v>
      </c>
      <c r="D7" s="12" t="s">
        <v>121</v>
      </c>
      <c r="E7" s="12" t="inlineStr">
        <is>
          <t>3×8–10/leg · Start ~25 lb each hand</t>
        </is>
      </c>
      <c r="F7" s="12" t="s">
        <v>123</v>
      </c>
      <c r="G7" s="12" t="s">
        <v>124</v>
      </c>
      <c r="H7" s="12" t="s">
        <v>125</v>
      </c>
      <c r="I7" s="12" t="s">
        <v>126</v>
      </c>
      <c r="J7" s="12" t="s">
        <v>117</v>
      </c>
    </row>
    <row r="8" customFormat="false" ht="15" hidden="false" customHeight="false" outlineLevel="0" collapsed="false">
      <c r="A8" s="12" t="s">
        <v>36</v>
      </c>
      <c r="B8" s="12" t="n">
        <v>4</v>
      </c>
      <c r="C8" s="12" t="s">
        <v>127</v>
      </c>
      <c r="D8" s="12" t="s">
        <v>128</v>
      </c>
      <c r="E8" s="12" t="inlineStr">
        <is>
          <t>3×8–10 · Start light — find it</t>
        </is>
      </c>
      <c r="F8" s="12" t="s">
        <v>19</v>
      </c>
      <c r="G8" s="12" t="s">
        <v>24</v>
      </c>
      <c r="H8" s="12" t="s">
        <v>29</v>
      </c>
      <c r="I8" s="12" t="s">
        <v>129</v>
      </c>
      <c r="J8" s="19" t="s">
        <v>130</v>
      </c>
    </row>
    <row r="9" customFormat="false" ht="15" hidden="false" customHeight="false" outlineLevel="0" collapsed="false">
      <c r="A9" s="12" t="s">
        <v>36</v>
      </c>
      <c r="B9" s="12" t="n">
        <v>5</v>
      </c>
      <c r="C9" s="12" t="s">
        <v>131</v>
      </c>
      <c r="D9" s="12" t="s">
        <v>132</v>
      </c>
      <c r="E9" s="12" t="s">
        <v>133</v>
      </c>
      <c r="F9" s="12" t="s">
        <v>134</v>
      </c>
      <c r="G9" s="12" t="s">
        <v>135</v>
      </c>
      <c r="H9" s="12" t="s">
        <v>136</v>
      </c>
      <c r="I9" s="12" t="s">
        <v>137</v>
      </c>
      <c r="J9" s="12" t="s">
        <v>117</v>
      </c>
    </row>
    <row r="10" customFormat="false" ht="23.85" hidden="false" customHeight="false" outlineLevel="0" collapsed="false">
      <c r="A10" s="12" t="s">
        <v>36</v>
      </c>
      <c r="B10" s="12" t="n">
        <v>6</v>
      </c>
      <c r="C10" s="12" t="s">
        <v>138</v>
      </c>
      <c r="D10" s="12" t="s">
        <v>139</v>
      </c>
      <c r="E10" s="12" t="inlineStr">
        <is>
          <t>2×40 yd/side · Start ~45 lb/side</t>
        </is>
      </c>
      <c r="F10" s="12" t="s">
        <v>140</v>
      </c>
      <c r="G10" s="12" t="s">
        <v>140</v>
      </c>
      <c r="H10" s="12" t="s">
        <v>141</v>
      </c>
      <c r="I10" s="12" t="s">
        <v>142</v>
      </c>
      <c r="J10" s="12" t="s">
        <v>117</v>
      </c>
    </row>
    <row r="11" customFormat="false" ht="15" hidden="false" customHeight="false" outlineLevel="0" collapsed="false">
      <c r="A11" s="12" t="s">
        <v>41</v>
      </c>
      <c r="B11" s="12" t="n">
        <v>1</v>
      </c>
      <c r="C11" s="12" t="s">
        <v>143</v>
      </c>
      <c r="D11" s="12" t="s">
        <v>42</v>
      </c>
      <c r="E11" s="12" t="s">
        <v>144</v>
      </c>
      <c r="F11" s="12" t="s">
        <v>144</v>
      </c>
      <c r="G11" s="12" t="s">
        <v>144</v>
      </c>
      <c r="H11" s="12" t="s">
        <v>144</v>
      </c>
      <c r="I11" s="12" t="s">
        <v>145</v>
      </c>
      <c r="J11" s="12" t="s">
        <v>62</v>
      </c>
    </row>
    <row r="12" customFormat="false" ht="15" hidden="false" customHeight="false" outlineLevel="0" collapsed="false">
      <c r="A12" s="12" t="s">
        <v>46</v>
      </c>
      <c r="B12" s="12" t="n">
        <v>1</v>
      </c>
      <c r="C12" s="12" t="s">
        <v>113</v>
      </c>
      <c r="D12" s="12" t="s">
        <v>146</v>
      </c>
      <c r="E12" s="12" t="s">
        <v>147</v>
      </c>
      <c r="F12" s="12" t="s">
        <v>147</v>
      </c>
      <c r="G12" s="12" t="s">
        <v>147</v>
      </c>
      <c r="H12" s="12" t="s">
        <v>147</v>
      </c>
      <c r="I12" s="12" t="s">
        <v>148</v>
      </c>
      <c r="J12" s="12" t="s">
        <v>117</v>
      </c>
    </row>
    <row r="13" customFormat="false" ht="15" hidden="false" customHeight="false" outlineLevel="0" collapsed="false">
      <c r="A13" s="18" t="s">
        <v>46</v>
      </c>
      <c r="B13" s="18" t="n">
        <v>2</v>
      </c>
      <c r="C13" s="18" t="s">
        <v>118</v>
      </c>
      <c r="D13" s="18" t="s">
        <v>48</v>
      </c>
      <c r="E13" s="18" t="inlineStr">
        <is>
          <t>4×6 @ RPE 6–7 · Start ~135–145 lb</t>
        </is>
      </c>
      <c r="F13" s="18" t="s">
        <v>18</v>
      </c>
      <c r="G13" s="18" t="s">
        <v>23</v>
      </c>
      <c r="H13" s="18" t="s">
        <v>28</v>
      </c>
      <c r="I13" s="18" t="inlineStr">
        <is>
          <t>Hands on handles; no barbell grip; 1–2 ramp sets, not logged; then all working sets at one weight</t>
        </is>
      </c>
      <c r="J13" s="20" t="s">
        <v>130</v>
      </c>
    </row>
    <row r="14" customFormat="false" ht="15" hidden="false" customHeight="false" outlineLevel="0" collapsed="false">
      <c r="A14" s="12" t="s">
        <v>46</v>
      </c>
      <c r="B14" s="12" t="n">
        <v>3</v>
      </c>
      <c r="C14" s="12" t="s">
        <v>120</v>
      </c>
      <c r="D14" s="12" t="s">
        <v>150</v>
      </c>
      <c r="E14" s="12" t="inlineStr">
        <is>
          <t>3×8–10/side · Start ~40–45 lb</t>
        </is>
      </c>
      <c r="F14" s="12" t="s">
        <v>134</v>
      </c>
      <c r="G14" s="12" t="s">
        <v>135</v>
      </c>
      <c r="H14" s="12" t="s">
        <v>136</v>
      </c>
      <c r="I14" s="12" t="s">
        <v>151</v>
      </c>
      <c r="J14" s="12" t="s">
        <v>117</v>
      </c>
    </row>
    <row r="15" customFormat="false" ht="15" hidden="false" customHeight="false" outlineLevel="0" collapsed="false">
      <c r="A15" s="12" t="s">
        <v>46</v>
      </c>
      <c r="B15" s="12" t="n">
        <v>4</v>
      </c>
      <c r="C15" s="12" t="s">
        <v>127</v>
      </c>
      <c r="D15" s="12" t="s">
        <v>152</v>
      </c>
      <c r="E15" s="12" t="inlineStr">
        <is>
          <t>3×8–10/side · Start ~12.5–15 lb</t>
        </is>
      </c>
      <c r="F15" s="12" t="s">
        <v>134</v>
      </c>
      <c r="G15" s="12" t="s">
        <v>135</v>
      </c>
      <c r="H15" s="12" t="s">
        <v>136</v>
      </c>
      <c r="I15" s="12" t="s">
        <v>153</v>
      </c>
      <c r="J15" s="12" t="s">
        <v>117</v>
      </c>
    </row>
    <row r="16" customFormat="false" ht="15" hidden="false" customHeight="false" outlineLevel="0" collapsed="false">
      <c r="A16" s="12" t="s">
        <v>46</v>
      </c>
      <c r="B16" s="12" t="n">
        <v>5</v>
      </c>
      <c r="C16" s="12" t="s">
        <v>131</v>
      </c>
      <c r="D16" s="12" t="s">
        <v>154</v>
      </c>
      <c r="E16" s="12" t="inlineStr">
        <is>
          <t>3×8–10 · Start ~12.5–15 lb</t>
        </is>
      </c>
      <c r="F16" s="12" t="s">
        <v>19</v>
      </c>
      <c r="G16" s="12" t="s">
        <v>24</v>
      </c>
      <c r="H16" s="12" t="s">
        <v>29</v>
      </c>
      <c r="I16" s="12" t="s">
        <v>155</v>
      </c>
      <c r="J16" s="12" t="s">
        <v>117</v>
      </c>
    </row>
    <row r="17" customFormat="false" ht="23.85" hidden="false" customHeight="false" outlineLevel="0" collapsed="false">
      <c r="A17" s="12" t="s">
        <v>46</v>
      </c>
      <c r="B17" s="12" t="n">
        <v>6</v>
      </c>
      <c r="C17" s="12" t="s">
        <v>138</v>
      </c>
      <c r="D17" s="12" t="s">
        <v>156</v>
      </c>
      <c r="E17" s="12" t="inlineStr">
        <is>
          <t>2×20–30 s/side · Start 5 lb</t>
        </is>
      </c>
      <c r="F17" s="12" t="s">
        <v>157</v>
      </c>
      <c r="G17" s="12" t="s">
        <v>157</v>
      </c>
      <c r="H17" s="12" t="s">
        <v>158</v>
      </c>
      <c r="I17" s="12" t="s">
        <v>159</v>
      </c>
      <c r="J17" s="19" t="s">
        <v>160</v>
      </c>
    </row>
    <row r="18" customFormat="false" ht="15" hidden="false" customHeight="false" outlineLevel="0" collapsed="false">
      <c r="A18" s="12" t="s">
        <v>50</v>
      </c>
      <c r="B18" s="12" t="n">
        <v>1</v>
      </c>
      <c r="C18" s="12" t="s">
        <v>143</v>
      </c>
      <c r="D18" s="12" t="s">
        <v>42</v>
      </c>
      <c r="E18" s="12" t="s">
        <v>144</v>
      </c>
      <c r="F18" s="12" t="s">
        <v>144</v>
      </c>
      <c r="G18" s="12" t="s">
        <v>144</v>
      </c>
      <c r="H18" s="12" t="s">
        <v>144</v>
      </c>
      <c r="I18" s="12" t="s">
        <v>161</v>
      </c>
      <c r="J18" s="12" t="s">
        <v>62</v>
      </c>
    </row>
    <row r="19" customFormat="false" ht="15" hidden="false" customHeight="false" outlineLevel="0" collapsed="false">
      <c r="A19" s="12" t="s">
        <v>52</v>
      </c>
      <c r="B19" s="12" t="n">
        <v>1</v>
      </c>
      <c r="C19" s="12" t="s">
        <v>113</v>
      </c>
      <c r="D19" s="12" t="s">
        <v>162</v>
      </c>
      <c r="E19" s="12" t="s">
        <v>115</v>
      </c>
      <c r="F19" s="12" t="s">
        <v>115</v>
      </c>
      <c r="G19" s="12" t="s">
        <v>115</v>
      </c>
      <c r="H19" s="12" t="s">
        <v>115</v>
      </c>
      <c r="I19" s="12" t="s">
        <v>163</v>
      </c>
      <c r="J19" s="12" t="s">
        <v>117</v>
      </c>
    </row>
    <row r="20" customFormat="false" ht="23.85" hidden="false" customHeight="false" outlineLevel="0" collapsed="false">
      <c r="A20" s="18" t="s">
        <v>52</v>
      </c>
      <c r="B20" s="18" t="n">
        <v>2</v>
      </c>
      <c r="C20" s="18" t="s">
        <v>118</v>
      </c>
      <c r="D20" s="18" t="s">
        <v>54</v>
      </c>
      <c r="E20" s="18" t="inlineStr">
        <is>
          <t>4×6 @ RPE 6–7 · Start ~135 lb</t>
        </is>
      </c>
      <c r="F20" s="18" t="s">
        <v>18</v>
      </c>
      <c r="G20" s="18" t="s">
        <v>23</v>
      </c>
      <c r="H20" s="18" t="s">
        <v>28</v>
      </c>
      <c r="I20" s="18" t="inlineStr">
        <is>
          <t>Barbell; 1–2 ramp sets, not logged; then all working sets at one weight</t>
        </is>
      </c>
      <c r="J20" s="18" t="s">
        <v>165</v>
      </c>
    </row>
    <row r="21" customFormat="false" ht="15" hidden="false" customHeight="false" outlineLevel="0" collapsed="false">
      <c r="A21" s="12" t="s">
        <v>52</v>
      </c>
      <c r="B21" s="12" t="n">
        <v>3</v>
      </c>
      <c r="C21" s="12" t="s">
        <v>120</v>
      </c>
      <c r="D21" s="12" t="s">
        <v>166</v>
      </c>
      <c r="E21" s="12" t="inlineStr">
        <is>
          <t>3×8–10/side · Start ~40–45 lb</t>
        </is>
      </c>
      <c r="F21" s="12" t="s">
        <v>134</v>
      </c>
      <c r="G21" s="12" t="s">
        <v>135</v>
      </c>
      <c r="H21" s="12" t="s">
        <v>136</v>
      </c>
      <c r="I21" s="12" t="s">
        <v>167</v>
      </c>
      <c r="J21" s="12" t="s">
        <v>117</v>
      </c>
    </row>
    <row r="22" customFormat="false" ht="15" hidden="false" customHeight="false" outlineLevel="0" collapsed="false">
      <c r="A22" s="12" t="s">
        <v>52</v>
      </c>
      <c r="B22" s="12" t="n">
        <v>4</v>
      </c>
      <c r="C22" s="12" t="s">
        <v>127</v>
      </c>
      <c r="D22" s="12" t="s">
        <v>168</v>
      </c>
      <c r="E22" s="12" t="s">
        <v>122</v>
      </c>
      <c r="F22" s="12" t="s">
        <v>123</v>
      </c>
      <c r="G22" s="12" t="s">
        <v>124</v>
      </c>
      <c r="H22" s="12" t="s">
        <v>125</v>
      </c>
      <c r="I22" s="12" t="s">
        <v>169</v>
      </c>
      <c r="J22" s="12" t="s">
        <v>117</v>
      </c>
    </row>
    <row r="23" customFormat="false" ht="15" hidden="false" customHeight="false" outlineLevel="0" collapsed="false">
      <c r="A23" s="12" t="s">
        <v>52</v>
      </c>
      <c r="B23" s="12" t="n">
        <v>5</v>
      </c>
      <c r="C23" s="12" t="s">
        <v>131</v>
      </c>
      <c r="D23" s="12" t="s">
        <v>170</v>
      </c>
      <c r="E23" s="12" t="s">
        <v>133</v>
      </c>
      <c r="F23" s="12" t="s">
        <v>134</v>
      </c>
      <c r="G23" s="12" t="s">
        <v>135</v>
      </c>
      <c r="H23" s="12" t="s">
        <v>136</v>
      </c>
      <c r="I23" s="12" t="s">
        <v>171</v>
      </c>
      <c r="J23" s="12" t="s">
        <v>117</v>
      </c>
    </row>
    <row r="24" customFormat="false" ht="23.85" hidden="false" customHeight="false" outlineLevel="0" collapsed="false">
      <c r="A24" s="12" t="s">
        <v>52</v>
      </c>
      <c r="B24" s="12" t="n">
        <v>6</v>
      </c>
      <c r="C24" s="12" t="s">
        <v>138</v>
      </c>
      <c r="D24" s="12" t="s">
        <v>139</v>
      </c>
      <c r="E24" s="12" t="inlineStr">
        <is>
          <t>2×40 yd/side · Start ~45 lb/side</t>
        </is>
      </c>
      <c r="F24" s="12" t="s">
        <v>140</v>
      </c>
      <c r="G24" s="12" t="s">
        <v>140</v>
      </c>
      <c r="H24" s="12" t="s">
        <v>141</v>
      </c>
      <c r="I24" s="12" t="s">
        <v>142</v>
      </c>
      <c r="J24" s="12" t="s">
        <v>117</v>
      </c>
    </row>
    <row r="25" customFormat="false" ht="15" hidden="false" customHeight="false" outlineLevel="0" collapsed="false">
      <c r="A25" s="12" t="s">
        <v>55</v>
      </c>
      <c r="B25" s="12" t="n">
        <v>1</v>
      </c>
      <c r="C25" s="12" t="s">
        <v>113</v>
      </c>
      <c r="D25" s="12" t="s">
        <v>146</v>
      </c>
      <c r="E25" s="12" t="s">
        <v>147</v>
      </c>
      <c r="F25" s="12" t="s">
        <v>147</v>
      </c>
      <c r="G25" s="12" t="s">
        <v>147</v>
      </c>
      <c r="H25" s="12" t="s">
        <v>147</v>
      </c>
      <c r="I25" s="12" t="s">
        <v>172</v>
      </c>
      <c r="J25" s="12" t="s">
        <v>117</v>
      </c>
    </row>
    <row r="26" customFormat="false" ht="23.85" hidden="false" customHeight="false" outlineLevel="0" collapsed="false">
      <c r="A26" s="12" t="s">
        <v>55</v>
      </c>
      <c r="B26" s="12" t="n">
        <v>2</v>
      </c>
      <c r="C26" s="12" t="s">
        <v>173</v>
      </c>
      <c r="D26" s="12" t="s">
        <v>174</v>
      </c>
      <c r="E26" s="12" t="inlineStr">
        <is>
          <t>3×10 · 3 s lower · Start ~180–200 lb</t>
        </is>
      </c>
      <c r="F26" s="12" t="s">
        <v>176</v>
      </c>
      <c r="G26" s="12" t="s">
        <v>177</v>
      </c>
      <c r="H26" s="12" t="s">
        <v>147</v>
      </c>
      <c r="I26" s="12" t="s">
        <v>178</v>
      </c>
      <c r="J26" s="12" t="s">
        <v>117</v>
      </c>
    </row>
    <row r="27" customFormat="false" ht="23.85" hidden="false" customHeight="false" outlineLevel="0" collapsed="false">
      <c r="A27" s="12" t="s">
        <v>55</v>
      </c>
      <c r="B27" s="12" t="n">
        <v>3</v>
      </c>
      <c r="C27" s="12" t="s">
        <v>173</v>
      </c>
      <c r="D27" s="12" t="s">
        <v>179</v>
      </c>
      <c r="E27" s="12" t="s">
        <v>180</v>
      </c>
      <c r="F27" s="12" t="s">
        <v>181</v>
      </c>
      <c r="G27" s="12" t="s">
        <v>182</v>
      </c>
      <c r="H27" s="12" t="s">
        <v>125</v>
      </c>
      <c r="I27" s="12" t="s">
        <v>183</v>
      </c>
      <c r="J27" s="12" t="s">
        <v>117</v>
      </c>
    </row>
    <row r="28" customFormat="false" ht="23.85" hidden="false" customHeight="false" outlineLevel="0" collapsed="false">
      <c r="A28" s="12" t="s">
        <v>55</v>
      </c>
      <c r="B28" s="12" t="n">
        <v>4</v>
      </c>
      <c r="C28" s="12" t="s">
        <v>173</v>
      </c>
      <c r="D28" s="12" t="s">
        <v>184</v>
      </c>
      <c r="E28" s="12" t="s">
        <v>180</v>
      </c>
      <c r="F28" s="12" t="s">
        <v>181</v>
      </c>
      <c r="G28" s="12" t="s">
        <v>182</v>
      </c>
      <c r="H28" s="12" t="s">
        <v>125</v>
      </c>
      <c r="I28" s="12" t="s">
        <v>185</v>
      </c>
      <c r="J28" s="12" t="s">
        <v>117</v>
      </c>
    </row>
    <row r="29" customFormat="false" ht="15" hidden="false" customHeight="false" outlineLevel="0" collapsed="false">
      <c r="A29" s="12" t="s">
        <v>55</v>
      </c>
      <c r="B29" s="12" t="n">
        <v>5</v>
      </c>
      <c r="C29" s="12" t="s">
        <v>173</v>
      </c>
      <c r="D29" s="12" t="s">
        <v>186</v>
      </c>
      <c r="E29" s="12" t="s">
        <v>187</v>
      </c>
      <c r="F29" s="12" t="s">
        <v>187</v>
      </c>
      <c r="G29" s="12" t="s">
        <v>187</v>
      </c>
      <c r="H29" s="12" t="s">
        <v>188</v>
      </c>
      <c r="I29" s="12" t="s">
        <v>189</v>
      </c>
      <c r="J29" s="12" t="s">
        <v>117</v>
      </c>
    </row>
    <row r="30" customFormat="false" ht="23.85" hidden="false" customHeight="false" outlineLevel="0" collapsed="false">
      <c r="A30" s="12" t="s">
        <v>55</v>
      </c>
      <c r="B30" s="12" t="n">
        <v>6</v>
      </c>
      <c r="C30" s="12" t="s">
        <v>190</v>
      </c>
      <c r="D30" s="12" t="s">
        <v>191</v>
      </c>
      <c r="E30" s="12" t="s">
        <v>192</v>
      </c>
      <c r="F30" s="12" t="s">
        <v>192</v>
      </c>
      <c r="G30" s="12" t="s">
        <v>192</v>
      </c>
      <c r="H30" s="12" t="s">
        <v>193</v>
      </c>
      <c r="I30" s="12" t="s">
        <v>194</v>
      </c>
      <c r="J30" s="19" t="s">
        <v>195</v>
      </c>
    </row>
    <row r="31" customFormat="false" ht="15" hidden="false" customHeight="false" outlineLevel="0" collapsed="false">
      <c r="A31" s="12" t="s">
        <v>55</v>
      </c>
      <c r="B31" s="12" t="n">
        <v>7</v>
      </c>
      <c r="C31" s="12" t="s">
        <v>196</v>
      </c>
      <c r="D31" s="12" t="s">
        <v>197</v>
      </c>
      <c r="E31" s="12" t="s">
        <v>198</v>
      </c>
      <c r="F31" s="12" t="s">
        <v>198</v>
      </c>
      <c r="G31" s="12" t="s">
        <v>198</v>
      </c>
      <c r="H31" s="12" t="s">
        <v>198</v>
      </c>
      <c r="I31" s="12" t="s">
        <v>199</v>
      </c>
      <c r="J31" s="12" t="s">
        <v>200</v>
      </c>
    </row>
    <row r="32" customFormat="false" ht="15" hidden="false" customHeight="false" outlineLevel="0" collapsed="false">
      <c r="A32" s="12" t="s">
        <v>59</v>
      </c>
      <c r="B32" s="12" t="n">
        <v>1</v>
      </c>
      <c r="C32" s="12" t="s">
        <v>201</v>
      </c>
      <c r="D32" s="12" t="s">
        <v>60</v>
      </c>
      <c r="E32" s="12" t="s">
        <v>202</v>
      </c>
      <c r="F32" s="12" t="s">
        <v>202</v>
      </c>
      <c r="G32" s="12" t="s">
        <v>202</v>
      </c>
      <c r="H32" s="12" t="s">
        <v>202</v>
      </c>
      <c r="I32" s="12"/>
      <c r="J32" s="12" t="s">
        <v>62</v>
      </c>
    </row>
    <row r="34">
      <c r="A34" s="2" t="inlineStr">
        <is>
          <t>Loading (shown in the app on every Meso 03 lift day)</t>
        </is>
      </c>
    </row>
    <row r="35">
      <c r="A35" s="2" t="inlineStr">
        <is>
          <t>Main lifts: all sets at RPE 7 or easier → add 5 lb next week (Rack Pull 10 lb). 1–2 ramp sets, not logged; then all working sets at one weight.</t>
        </is>
      </c>
    </row>
    <row r="36">
      <c r="A36" s="2" t="inlineStr">
        <is>
          <t>Accessories: stay at one weight until every set hits the top of the rep range, then go up.</t>
        </is>
      </c>
    </row>
    <row r="37">
      <c r="A37" s="2" t="inlineStr">
        <is>
          <t>Single-arm: right side sets the load; left matches.</t>
        </is>
      </c>
    </row>
    <row r="38">
      <c r="A38" s="2" t="inlineStr">
        <is>
          <t>Baseline (wk 1–2) starting weights are the "Start" values in column E. First working set RPE 8+ → drop 10%. RPE 5 → add 5–10 lb. Saturday (cap 7/10): first working set above 7/10 → drop 10%. From week 3, the app's Last time line takes over.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15" hidden="false" customHeight="false" outlineLevel="0" collapsed="false">
      <c r="A4" s="7" t="s">
        <v>205</v>
      </c>
      <c r="B4" s="7" t="s">
        <v>106</v>
      </c>
      <c r="C4" s="7" t="s">
        <v>206</v>
      </c>
      <c r="D4" s="7" t="s">
        <v>207</v>
      </c>
      <c r="E4" s="7" t="s">
        <v>35</v>
      </c>
    </row>
    <row r="5" customFormat="false" ht="15" hidden="false" customHeight="false" outlineLevel="0" collapsed="false">
      <c r="A5" s="21" t="s">
        <v>208</v>
      </c>
      <c r="B5" s="21" t="s">
        <v>209</v>
      </c>
      <c r="C5" s="21" t="s">
        <v>147</v>
      </c>
      <c r="D5" s="21" t="s">
        <v>210</v>
      </c>
      <c r="E5" s="21" t="s">
        <v>211</v>
      </c>
    </row>
    <row r="6" customFormat="false" ht="15" hidden="false" customHeight="false" outlineLevel="0" collapsed="false">
      <c r="A6" s="21" t="s">
        <v>208</v>
      </c>
      <c r="B6" s="21" t="s">
        <v>212</v>
      </c>
      <c r="C6" s="21" t="s">
        <v>213</v>
      </c>
      <c r="D6" s="21" t="s">
        <v>214</v>
      </c>
      <c r="E6" s="21" t="s">
        <v>211</v>
      </c>
    </row>
    <row r="7" customFormat="false" ht="15" hidden="false" customHeight="false" outlineLevel="0" collapsed="false">
      <c r="A7" s="21" t="s">
        <v>208</v>
      </c>
      <c r="B7" s="21" t="s">
        <v>215</v>
      </c>
      <c r="C7" s="21" t="s">
        <v>216</v>
      </c>
      <c r="D7" s="21" t="s">
        <v>217</v>
      </c>
      <c r="E7" s="21" t="s">
        <v>211</v>
      </c>
    </row>
    <row r="8" customFormat="false" ht="23.85" hidden="false" customHeight="false" outlineLevel="0" collapsed="false">
      <c r="A8" s="21" t="s">
        <v>208</v>
      </c>
      <c r="B8" s="21" t="s">
        <v>218</v>
      </c>
      <c r="C8" s="21" t="s">
        <v>219</v>
      </c>
      <c r="D8" s="21" t="s">
        <v>220</v>
      </c>
      <c r="E8" s="21" t="s">
        <v>221</v>
      </c>
    </row>
    <row r="9" customFormat="false" ht="23.85" hidden="false" customHeight="false" outlineLevel="0" collapsed="false">
      <c r="A9" s="21" t="s">
        <v>208</v>
      </c>
      <c r="B9" s="21" t="s">
        <v>156</v>
      </c>
      <c r="C9" s="21" t="s">
        <v>157</v>
      </c>
      <c r="D9" s="21" t="s">
        <v>222</v>
      </c>
      <c r="E9" s="21" t="s">
        <v>223</v>
      </c>
    </row>
    <row r="10" customFormat="false" ht="23.85" hidden="false" customHeight="false" outlineLevel="0" collapsed="false">
      <c r="A10" s="21" t="s">
        <v>208</v>
      </c>
      <c r="B10" s="21" t="s">
        <v>224</v>
      </c>
      <c r="C10" s="21" t="s">
        <v>225</v>
      </c>
      <c r="D10" s="21" t="s">
        <v>226</v>
      </c>
      <c r="E10" s="21" t="s">
        <v>227</v>
      </c>
    </row>
    <row r="11" customFormat="false" ht="23.85" hidden="false" customHeight="false" outlineLevel="0" collapsed="false">
      <c r="A11" s="21" t="s">
        <v>208</v>
      </c>
      <c r="B11" s="21" t="s">
        <v>228</v>
      </c>
      <c r="C11" s="21" t="s">
        <v>229</v>
      </c>
      <c r="D11" s="21" t="s">
        <v>230</v>
      </c>
      <c r="E11" s="21" t="s">
        <v>231</v>
      </c>
    </row>
    <row r="12" customFormat="false" ht="23.85" hidden="false" customHeight="false" outlineLevel="0" collapsed="false">
      <c r="A12" s="12" t="s">
        <v>232</v>
      </c>
      <c r="B12" s="12" t="s">
        <v>233</v>
      </c>
      <c r="C12" s="12" t="s">
        <v>234</v>
      </c>
      <c r="D12" s="12" t="s">
        <v>235</v>
      </c>
      <c r="E12" s="12" t="s">
        <v>236</v>
      </c>
    </row>
    <row r="13" customFormat="false" ht="23.85" hidden="false" customHeight="false" outlineLevel="0" collapsed="false">
      <c r="A13" s="12" t="s">
        <v>232</v>
      </c>
      <c r="B13" s="12" t="s">
        <v>237</v>
      </c>
      <c r="C13" s="12" t="s">
        <v>238</v>
      </c>
      <c r="D13" s="12" t="s">
        <v>239</v>
      </c>
      <c r="E13" s="12" t="s">
        <v>240</v>
      </c>
    </row>
    <row r="14" customFormat="false" ht="23.85" hidden="false" customHeight="false" outlineLevel="0" collapsed="false">
      <c r="A14" s="12" t="s">
        <v>241</v>
      </c>
      <c r="B14" s="12" t="s">
        <v>43</v>
      </c>
      <c r="C14" s="12" t="s">
        <v>43</v>
      </c>
      <c r="D14" s="12" t="s">
        <v>242</v>
      </c>
      <c r="E14" s="12"/>
    </row>
    <row r="16" customFormat="false" ht="15" hidden="false" customHeight="false" outlineLevel="0" collapsed="false">
      <c r="A16" s="6" t="s">
        <v>243</v>
      </c>
    </row>
    <row r="17" customFormat="false" ht="15" hidden="false" customHeight="false" outlineLevel="0" collapsed="false">
      <c r="A17" s="12" t="s">
        <v>244</v>
      </c>
      <c r="B17" s="12" t="s">
        <v>245</v>
      </c>
      <c r="C17" s="12" t="s">
        <v>246</v>
      </c>
      <c r="D17" s="12"/>
      <c r="E17" s="12"/>
    </row>
    <row r="18" customFormat="false" ht="15" hidden="false" customHeight="false" outlineLevel="0" collapsed="false">
      <c r="A18" s="12" t="s">
        <v>244</v>
      </c>
      <c r="B18" s="12" t="s">
        <v>247</v>
      </c>
      <c r="C18" s="12" t="s">
        <v>248</v>
      </c>
      <c r="D18" s="12"/>
      <c r="E18" s="12"/>
    </row>
    <row r="19" customFormat="false" ht="23.85" hidden="false" customHeight="false" outlineLevel="0" collapsed="false">
      <c r="A19" s="12" t="s">
        <v>244</v>
      </c>
      <c r="B19" s="12" t="s">
        <v>249</v>
      </c>
      <c r="C19" s="12" t="s">
        <v>250</v>
      </c>
      <c r="D19" s="12"/>
      <c r="E19" s="12"/>
    </row>
    <row r="20" customFormat="false" ht="23.85" hidden="false" customHeight="false" outlineLevel="0" collapsed="false">
      <c r="A20" s="12" t="s">
        <v>244</v>
      </c>
      <c r="B20" s="12" t="s">
        <v>251</v>
      </c>
      <c r="C20" s="12" t="s">
        <v>252</v>
      </c>
      <c r="D20" s="12"/>
      <c r="E20" s="12"/>
    </row>
    <row r="21" customFormat="false" ht="23.85" hidden="false" customHeight="false" outlineLevel="0" collapsed="false">
      <c r="A21" s="12" t="s">
        <v>244</v>
      </c>
      <c r="B21" s="12" t="s">
        <v>253</v>
      </c>
      <c r="C21" s="12" t="s">
        <v>254</v>
      </c>
      <c r="D21" s="12"/>
      <c r="E21" s="12"/>
    </row>
    <row r="22" customFormat="false" ht="15" hidden="false" customHeight="false" outlineLevel="0" collapsed="false">
      <c r="A22" s="12" t="s">
        <v>244</v>
      </c>
      <c r="B22" s="12" t="s">
        <v>255</v>
      </c>
      <c r="C22" s="12" t="s">
        <v>254</v>
      </c>
      <c r="D22" s="12"/>
      <c r="E22" s="12"/>
    </row>
    <row r="23" customFormat="false" ht="15" hidden="false" customHeight="false" outlineLevel="0" collapsed="false">
      <c r="A23" s="12" t="s">
        <v>244</v>
      </c>
      <c r="B23" s="12" t="s">
        <v>256</v>
      </c>
      <c r="C23" s="12" t="s">
        <v>257</v>
      </c>
      <c r="D23" s="12"/>
      <c r="E23" s="12"/>
    </row>
    <row r="24" customFormat="false" ht="15" hidden="false" customHeight="false" outlineLevel="0" collapsed="false">
      <c r="A24" s="12" t="s">
        <v>244</v>
      </c>
      <c r="B24" s="12" t="s">
        <v>258</v>
      </c>
      <c r="C24" s="12" t="s">
        <v>259</v>
      </c>
      <c r="D24" s="12"/>
      <c r="E24" s="12"/>
    </row>
    <row r="25" customFormat="false" ht="23.85" hidden="false" customHeight="false" outlineLevel="0" collapsed="false">
      <c r="A25" s="12" t="s">
        <v>244</v>
      </c>
      <c r="B25" s="12" t="s">
        <v>260</v>
      </c>
      <c r="C25" s="12" t="s">
        <v>261</v>
      </c>
      <c r="D25" s="12"/>
      <c r="E25" s="12"/>
    </row>
    <row r="26" customFormat="false" ht="15" hidden="false" customHeight="false" outlineLevel="0" collapsed="false">
      <c r="A26" s="12" t="s">
        <v>244</v>
      </c>
      <c r="B26" s="12" t="s">
        <v>262</v>
      </c>
      <c r="C26" s="12" t="s">
        <v>263</v>
      </c>
      <c r="D26" s="12"/>
      <c r="E26" s="12"/>
    </row>
    <row r="27" customFormat="false" ht="23.85" hidden="false" customHeight="false" outlineLevel="0" collapsed="false">
      <c r="A27" s="12" t="s">
        <v>244</v>
      </c>
      <c r="B27" s="12" t="s">
        <v>264</v>
      </c>
      <c r="C27" s="12" t="s">
        <v>265</v>
      </c>
      <c r="D27" s="12"/>
      <c r="E27" s="12"/>
    </row>
    <row r="28" customFormat="false" ht="35.05" hidden="false" customHeight="false" outlineLevel="0" collapsed="false">
      <c r="A28" s="12" t="s">
        <v>244</v>
      </c>
      <c r="B28" s="12" t="s">
        <v>266</v>
      </c>
      <c r="C28" s="12" t="s">
        <v>267</v>
      </c>
      <c r="D28" s="12"/>
      <c r="E28" s="12"/>
    </row>
    <row r="29" customFormat="false" ht="15" hidden="false" customHeight="false" outlineLevel="0" collapsed="false">
      <c r="A29" s="12" t="s">
        <v>244</v>
      </c>
      <c r="B29" s="12" t="s">
        <v>268</v>
      </c>
      <c r="C29" s="12" t="s">
        <v>269</v>
      </c>
      <c r="D29" s="12"/>
      <c r="E29" s="12"/>
    </row>
    <row r="30" customFormat="false" ht="23.85" hidden="false" customHeight="false" outlineLevel="0" collapsed="false">
      <c r="A30" s="12" t="s">
        <v>244</v>
      </c>
      <c r="B30" s="12" t="s">
        <v>270</v>
      </c>
      <c r="C30" s="12" t="s">
        <v>271</v>
      </c>
      <c r="D30" s="12"/>
      <c r="E30" s="12"/>
    </row>
    <row r="31" customFormat="false" ht="15" hidden="false" customHeight="false" outlineLevel="0" collapsed="false">
      <c r="A31" s="12" t="s">
        <v>244</v>
      </c>
      <c r="B31" s="12" t="s">
        <v>272</v>
      </c>
      <c r="C31" s="12" t="s">
        <v>273</v>
      </c>
      <c r="D31" s="12"/>
      <c r="E31" s="12"/>
    </row>
    <row r="32" customFormat="false" ht="15" hidden="false" customHeight="false" outlineLevel="0" collapsed="false">
      <c r="A32" s="12" t="s">
        <v>244</v>
      </c>
      <c r="B32" s="12" t="s">
        <v>274</v>
      </c>
      <c r="C32" s="12" t="s">
        <v>275</v>
      </c>
      <c r="D32" s="12"/>
      <c r="E32" s="12"/>
    </row>
    <row r="33" customFormat="false" ht="15" hidden="false" customHeight="false" outlineLevel="0" collapsed="false">
      <c r="A33" s="12" t="s">
        <v>244</v>
      </c>
      <c r="B33" s="12" t="s">
        <v>276</v>
      </c>
      <c r="C33" s="12" t="s">
        <v>277</v>
      </c>
      <c r="D33" s="12"/>
      <c r="E33" s="12"/>
    </row>
    <row r="34" customFormat="false" ht="23.85" hidden="false" customHeight="false" outlineLevel="0" collapsed="false">
      <c r="A34" s="12" t="s">
        <v>244</v>
      </c>
      <c r="B34" s="12" t="s">
        <v>278</v>
      </c>
      <c r="C34" s="12" t="s">
        <v>279</v>
      </c>
      <c r="D34" s="12"/>
      <c r="E34" s="12"/>
    </row>
    <row r="35" customFormat="false" ht="15" hidden="false" customHeight="false" outlineLevel="0" collapsed="false">
      <c r="A35" s="12" t="s">
        <v>244</v>
      </c>
      <c r="B35" s="12" t="s">
        <v>280</v>
      </c>
      <c r="C35" s="12" t="s">
        <v>277</v>
      </c>
      <c r="D35" s="12"/>
      <c r="E3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6" min="4" style="0" width="12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</row>
    <row r="3" customFormat="false" ht="15" hidden="false" customHeight="false" outlineLevel="0" collapsed="false">
      <c r="A3" s="2" t="s">
        <v>283</v>
      </c>
    </row>
    <row r="5" customFormat="false" ht="15" hidden="false" customHeight="false" outlineLevel="0" collapsed="false">
      <c r="A5" s="7" t="s">
        <v>92</v>
      </c>
      <c r="B5" s="7" t="s">
        <v>284</v>
      </c>
      <c r="C5" s="7" t="s">
        <v>285</v>
      </c>
      <c r="D5" s="7" t="s">
        <v>286</v>
      </c>
      <c r="E5" s="7" t="s">
        <v>287</v>
      </c>
      <c r="F5" s="7" t="s">
        <v>288</v>
      </c>
      <c r="G5" s="7" t="s">
        <v>35</v>
      </c>
    </row>
    <row r="6" customFormat="false" ht="15" hidden="false" customHeight="false" outlineLevel="0" collapsed="false">
      <c r="A6" s="22" t="s">
        <v>289</v>
      </c>
      <c r="B6" s="22" t="s">
        <v>290</v>
      </c>
      <c r="C6" s="22" t="s">
        <v>291</v>
      </c>
      <c r="D6" s="22" t="n">
        <v>25</v>
      </c>
      <c r="E6" s="22" t="n">
        <v>30</v>
      </c>
      <c r="F6" s="23" t="n">
        <f aca="false">IF(OR(D6="",E6="",E6=0),"",D6/E6)</f>
        <v>0.833333333333333</v>
      </c>
      <c r="G6" s="22" t="s">
        <v>292</v>
      </c>
    </row>
    <row r="7" customFormat="false" ht="15" hidden="false" customHeight="false" outlineLevel="0" collapsed="false">
      <c r="A7" s="12" t="n">
        <v>1</v>
      </c>
      <c r="B7" s="24" t="n">
        <f aca="false">Overview!$B$4+7*(A7-1)</f>
        <v>46314</v>
      </c>
      <c r="C7" s="12" t="s">
        <v>293</v>
      </c>
      <c r="D7" s="25"/>
      <c r="E7" s="25"/>
      <c r="F7" s="26" t="str">
        <f aca="false">IF(OR(D7="",E7="",E7=0),"",D7/E7)</f>
        <v/>
      </c>
      <c r="G7" s="25"/>
    </row>
    <row r="8" customFormat="false" ht="15" hidden="false" customHeight="false" outlineLevel="0" collapsed="false">
      <c r="A8" s="12" t="n">
        <v>1</v>
      </c>
      <c r="B8" s="24" t="n">
        <f aca="false">Overview!$B$4+7*(A8-1)</f>
        <v>46314</v>
      </c>
      <c r="C8" s="12" t="s">
        <v>294</v>
      </c>
      <c r="D8" s="25"/>
      <c r="E8" s="25"/>
      <c r="F8" s="26" t="str">
        <f aca="false">IF(OR(D8="",E8="",E8=0),"",D8/E8)</f>
        <v/>
      </c>
      <c r="G8" s="25"/>
    </row>
    <row r="9" customFormat="false" ht="15" hidden="false" customHeight="false" outlineLevel="0" collapsed="false">
      <c r="A9" s="12" t="n">
        <v>1</v>
      </c>
      <c r="B9" s="24" t="n">
        <f aca="false">Overview!$B$4+7*(A9-1)</f>
        <v>46314</v>
      </c>
      <c r="C9" s="12" t="s">
        <v>295</v>
      </c>
      <c r="D9" s="25"/>
      <c r="E9" s="25"/>
      <c r="F9" s="26" t="str">
        <f aca="false">IF(OR(D9="",E9="",E9=0),"",D9/E9)</f>
        <v/>
      </c>
      <c r="G9" s="25"/>
    </row>
    <row r="10" customFormat="false" ht="15" hidden="false" customHeight="false" outlineLevel="0" collapsed="false">
      <c r="A10" s="12" t="n">
        <v>1</v>
      </c>
      <c r="B10" s="24" t="n">
        <f aca="false">Overview!$B$4+7*(A10-1)</f>
        <v>46314</v>
      </c>
      <c r="C10" s="12" t="s">
        <v>296</v>
      </c>
      <c r="D10" s="25"/>
      <c r="E10" s="25"/>
      <c r="F10" s="26" t="str">
        <f aca="false">IF(OR(D10="",E10="",E10=0),"",D10/E10)</f>
        <v/>
      </c>
      <c r="G10" s="25"/>
    </row>
    <row r="11" customFormat="false" ht="15" hidden="false" customHeight="false" outlineLevel="0" collapsed="false">
      <c r="A11" s="12" t="n">
        <v>1</v>
      </c>
      <c r="B11" s="24" t="n">
        <f aca="false">Overview!$B$4+7*(A11-1)</f>
        <v>46314</v>
      </c>
      <c r="C11" s="12" t="s">
        <v>297</v>
      </c>
      <c r="D11" s="25"/>
      <c r="E11" s="25"/>
      <c r="F11" s="26" t="str">
        <f aca="false">IF(OR(D11="",E11="",E11=0),"",D11/E11)</f>
        <v/>
      </c>
      <c r="G11" s="25"/>
    </row>
    <row r="12" customFormat="false" ht="15" hidden="false" customHeight="false" outlineLevel="0" collapsed="false">
      <c r="A12" s="12" t="n">
        <v>2</v>
      </c>
      <c r="B12" s="24" t="n">
        <f aca="false">Overview!$B$4+7*(A12-1)</f>
        <v>46321</v>
      </c>
      <c r="C12" s="12" t="s">
        <v>293</v>
      </c>
      <c r="D12" s="25"/>
      <c r="E12" s="25"/>
      <c r="F12" s="26" t="str">
        <f aca="false">IF(OR(D12="",E12="",E12=0),"",D12/E12)</f>
        <v/>
      </c>
      <c r="G12" s="25"/>
    </row>
    <row r="13" customFormat="false" ht="15" hidden="false" customHeight="false" outlineLevel="0" collapsed="false">
      <c r="A13" s="12" t="n">
        <v>2</v>
      </c>
      <c r="B13" s="24" t="n">
        <f aca="false">Overview!$B$4+7*(A13-1)</f>
        <v>46321</v>
      </c>
      <c r="C13" s="12" t="s">
        <v>294</v>
      </c>
      <c r="D13" s="25"/>
      <c r="E13" s="25"/>
      <c r="F13" s="26" t="str">
        <f aca="false">IF(OR(D13="",E13="",E13=0),"",D13/E13)</f>
        <v/>
      </c>
      <c r="G13" s="25"/>
    </row>
    <row r="14" customFormat="false" ht="15" hidden="false" customHeight="false" outlineLevel="0" collapsed="false">
      <c r="A14" s="12" t="n">
        <v>2</v>
      </c>
      <c r="B14" s="24" t="n">
        <f aca="false">Overview!$B$4+7*(A14-1)</f>
        <v>46321</v>
      </c>
      <c r="C14" s="12" t="s">
        <v>295</v>
      </c>
      <c r="D14" s="25"/>
      <c r="E14" s="25"/>
      <c r="F14" s="26" t="str">
        <f aca="false">IF(OR(D14="",E14="",E14=0),"",D14/E14)</f>
        <v/>
      </c>
      <c r="G14" s="25"/>
    </row>
    <row r="15" customFormat="false" ht="15" hidden="false" customHeight="false" outlineLevel="0" collapsed="false">
      <c r="A15" s="12" t="n">
        <v>2</v>
      </c>
      <c r="B15" s="24" t="n">
        <f aca="false">Overview!$B$4+7*(A15-1)</f>
        <v>46321</v>
      </c>
      <c r="C15" s="12" t="s">
        <v>296</v>
      </c>
      <c r="D15" s="25"/>
      <c r="E15" s="25"/>
      <c r="F15" s="26" t="str">
        <f aca="false">IF(OR(D15="",E15="",E15=0),"",D15/E15)</f>
        <v/>
      </c>
      <c r="G15" s="25"/>
    </row>
    <row r="16" customFormat="false" ht="15" hidden="false" customHeight="false" outlineLevel="0" collapsed="false">
      <c r="A16" s="12" t="n">
        <v>2</v>
      </c>
      <c r="B16" s="24" t="n">
        <f aca="false">Overview!$B$4+7*(A16-1)</f>
        <v>46321</v>
      </c>
      <c r="C16" s="12" t="s">
        <v>297</v>
      </c>
      <c r="D16" s="25"/>
      <c r="E16" s="25"/>
      <c r="F16" s="26" t="str">
        <f aca="false">IF(OR(D16="",E16="",E16=0),"",D16/E16)</f>
        <v/>
      </c>
      <c r="G16" s="25"/>
    </row>
    <row r="17" customFormat="false" ht="15" hidden="false" customHeight="false" outlineLevel="0" collapsed="false">
      <c r="A17" s="12" t="n">
        <v>3</v>
      </c>
      <c r="B17" s="24" t="n">
        <f aca="false">Overview!$B$4+7*(A17-1)</f>
        <v>46328</v>
      </c>
      <c r="C17" s="12" t="s">
        <v>293</v>
      </c>
      <c r="D17" s="25"/>
      <c r="E17" s="25"/>
      <c r="F17" s="26" t="str">
        <f aca="false">IF(OR(D17="",E17="",E17=0),"",D17/E17)</f>
        <v/>
      </c>
      <c r="G17" s="25"/>
    </row>
    <row r="18" customFormat="false" ht="15" hidden="false" customHeight="false" outlineLevel="0" collapsed="false">
      <c r="A18" s="12" t="n">
        <v>3</v>
      </c>
      <c r="B18" s="24" t="n">
        <f aca="false">Overview!$B$4+7*(A18-1)</f>
        <v>46328</v>
      </c>
      <c r="C18" s="12" t="s">
        <v>294</v>
      </c>
      <c r="D18" s="25"/>
      <c r="E18" s="25"/>
      <c r="F18" s="26" t="str">
        <f aca="false">IF(OR(D18="",E18="",E18=0),"",D18/E18)</f>
        <v/>
      </c>
      <c r="G18" s="25"/>
    </row>
    <row r="19" customFormat="false" ht="15" hidden="false" customHeight="false" outlineLevel="0" collapsed="false">
      <c r="A19" s="12" t="n">
        <v>3</v>
      </c>
      <c r="B19" s="24" t="n">
        <f aca="false">Overview!$B$4+7*(A19-1)</f>
        <v>46328</v>
      </c>
      <c r="C19" s="12" t="s">
        <v>295</v>
      </c>
      <c r="D19" s="25"/>
      <c r="E19" s="25"/>
      <c r="F19" s="26" t="str">
        <f aca="false">IF(OR(D19="",E19="",E19=0),"",D19/E19)</f>
        <v/>
      </c>
      <c r="G19" s="25"/>
    </row>
    <row r="20" customFormat="false" ht="15" hidden="false" customHeight="false" outlineLevel="0" collapsed="false">
      <c r="A20" s="12" t="n">
        <v>3</v>
      </c>
      <c r="B20" s="24" t="n">
        <f aca="false">Overview!$B$4+7*(A20-1)</f>
        <v>46328</v>
      </c>
      <c r="C20" s="12" t="s">
        <v>296</v>
      </c>
      <c r="D20" s="25"/>
      <c r="E20" s="25"/>
      <c r="F20" s="26" t="str">
        <f aca="false">IF(OR(D20="",E20="",E20=0),"",D20/E20)</f>
        <v/>
      </c>
      <c r="G20" s="25"/>
    </row>
    <row r="21" customFormat="false" ht="15" hidden="false" customHeight="false" outlineLevel="0" collapsed="false">
      <c r="A21" s="12" t="n">
        <v>3</v>
      </c>
      <c r="B21" s="24" t="n">
        <f aca="false">Overview!$B$4+7*(A21-1)</f>
        <v>46328</v>
      </c>
      <c r="C21" s="12" t="s">
        <v>297</v>
      </c>
      <c r="D21" s="25"/>
      <c r="E21" s="25"/>
      <c r="F21" s="26" t="str">
        <f aca="false">IF(OR(D21="",E21="",E21=0),"",D21/E21)</f>
        <v/>
      </c>
      <c r="G21" s="25"/>
    </row>
    <row r="22" customFormat="false" ht="15" hidden="false" customHeight="false" outlineLevel="0" collapsed="false">
      <c r="A22" s="12" t="n">
        <v>4</v>
      </c>
      <c r="B22" s="24" t="n">
        <f aca="false">Overview!$B$4+7*(A22-1)</f>
        <v>46335</v>
      </c>
      <c r="C22" s="12" t="s">
        <v>293</v>
      </c>
      <c r="D22" s="25"/>
      <c r="E22" s="25"/>
      <c r="F22" s="26" t="str">
        <f aca="false">IF(OR(D22="",E22="",E22=0),"",D22/E22)</f>
        <v/>
      </c>
      <c r="G22" s="25"/>
    </row>
    <row r="23" customFormat="false" ht="15" hidden="false" customHeight="false" outlineLevel="0" collapsed="false">
      <c r="A23" s="12" t="n">
        <v>4</v>
      </c>
      <c r="B23" s="24" t="n">
        <f aca="false">Overview!$B$4+7*(A23-1)</f>
        <v>46335</v>
      </c>
      <c r="C23" s="12" t="s">
        <v>294</v>
      </c>
      <c r="D23" s="25"/>
      <c r="E23" s="25"/>
      <c r="F23" s="26" t="str">
        <f aca="false">IF(OR(D23="",E23="",E23=0),"",D23/E23)</f>
        <v/>
      </c>
      <c r="G23" s="25"/>
    </row>
    <row r="24" customFormat="false" ht="15" hidden="false" customHeight="false" outlineLevel="0" collapsed="false">
      <c r="A24" s="12" t="n">
        <v>4</v>
      </c>
      <c r="B24" s="24" t="n">
        <f aca="false">Overview!$B$4+7*(A24-1)</f>
        <v>46335</v>
      </c>
      <c r="C24" s="12" t="s">
        <v>295</v>
      </c>
      <c r="D24" s="25"/>
      <c r="E24" s="25"/>
      <c r="F24" s="26" t="str">
        <f aca="false">IF(OR(D24="",E24="",E24=0),"",D24/E24)</f>
        <v/>
      </c>
      <c r="G24" s="25"/>
    </row>
    <row r="25" customFormat="false" ht="15" hidden="false" customHeight="false" outlineLevel="0" collapsed="false">
      <c r="A25" s="12" t="n">
        <v>4</v>
      </c>
      <c r="B25" s="24" t="n">
        <f aca="false">Overview!$B$4+7*(A25-1)</f>
        <v>46335</v>
      </c>
      <c r="C25" s="12" t="s">
        <v>296</v>
      </c>
      <c r="D25" s="25"/>
      <c r="E25" s="25"/>
      <c r="F25" s="26" t="str">
        <f aca="false">IF(OR(D25="",E25="",E25=0),"",D25/E25)</f>
        <v/>
      </c>
      <c r="G25" s="25"/>
    </row>
    <row r="26" customFormat="false" ht="15" hidden="false" customHeight="false" outlineLevel="0" collapsed="false">
      <c r="A26" s="12" t="n">
        <v>4</v>
      </c>
      <c r="B26" s="24" t="n">
        <f aca="false">Overview!$B$4+7*(A26-1)</f>
        <v>46335</v>
      </c>
      <c r="C26" s="12" t="s">
        <v>297</v>
      </c>
      <c r="D26" s="25"/>
      <c r="E26" s="25"/>
      <c r="F26" s="26" t="str">
        <f aca="false">IF(OR(D26="",E26="",E26=0),"",D26/E26)</f>
        <v/>
      </c>
      <c r="G26" s="25"/>
    </row>
    <row r="27" customFormat="false" ht="15" hidden="false" customHeight="false" outlineLevel="0" collapsed="false">
      <c r="A27" s="12" t="n">
        <v>5</v>
      </c>
      <c r="B27" s="24" t="n">
        <f aca="false">Overview!$B$4+7*(A27-1)</f>
        <v>46342</v>
      </c>
      <c r="C27" s="12" t="s">
        <v>293</v>
      </c>
      <c r="D27" s="25"/>
      <c r="E27" s="25"/>
      <c r="F27" s="26" t="str">
        <f aca="false">IF(OR(D27="",E27="",E27=0),"",D27/E27)</f>
        <v/>
      </c>
      <c r="G27" s="25"/>
    </row>
    <row r="28" customFormat="false" ht="15" hidden="false" customHeight="false" outlineLevel="0" collapsed="false">
      <c r="A28" s="12" t="n">
        <v>5</v>
      </c>
      <c r="B28" s="24" t="n">
        <f aca="false">Overview!$B$4+7*(A28-1)</f>
        <v>46342</v>
      </c>
      <c r="C28" s="12" t="s">
        <v>294</v>
      </c>
      <c r="D28" s="25"/>
      <c r="E28" s="25"/>
      <c r="F28" s="26" t="str">
        <f aca="false">IF(OR(D28="",E28="",E28=0),"",D28/E28)</f>
        <v/>
      </c>
      <c r="G28" s="25"/>
    </row>
    <row r="29" customFormat="false" ht="15" hidden="false" customHeight="false" outlineLevel="0" collapsed="false">
      <c r="A29" s="12" t="n">
        <v>5</v>
      </c>
      <c r="B29" s="24" t="n">
        <f aca="false">Overview!$B$4+7*(A29-1)</f>
        <v>46342</v>
      </c>
      <c r="C29" s="12" t="s">
        <v>295</v>
      </c>
      <c r="D29" s="25"/>
      <c r="E29" s="25"/>
      <c r="F29" s="26" t="str">
        <f aca="false">IF(OR(D29="",E29="",E29=0),"",D29/E29)</f>
        <v/>
      </c>
      <c r="G29" s="25"/>
    </row>
    <row r="30" customFormat="false" ht="15" hidden="false" customHeight="false" outlineLevel="0" collapsed="false">
      <c r="A30" s="12" t="n">
        <v>5</v>
      </c>
      <c r="B30" s="24" t="n">
        <f aca="false">Overview!$B$4+7*(A30-1)</f>
        <v>46342</v>
      </c>
      <c r="C30" s="12" t="s">
        <v>296</v>
      </c>
      <c r="D30" s="25"/>
      <c r="E30" s="25"/>
      <c r="F30" s="26" t="str">
        <f aca="false">IF(OR(D30="",E30="",E30=0),"",D30/E30)</f>
        <v/>
      </c>
      <c r="G30" s="25"/>
    </row>
    <row r="31" customFormat="false" ht="15" hidden="false" customHeight="false" outlineLevel="0" collapsed="false">
      <c r="A31" s="12" t="n">
        <v>5</v>
      </c>
      <c r="B31" s="24" t="n">
        <f aca="false">Overview!$B$4+7*(A31-1)</f>
        <v>46342</v>
      </c>
      <c r="C31" s="12" t="s">
        <v>297</v>
      </c>
      <c r="D31" s="25"/>
      <c r="E31" s="25"/>
      <c r="F31" s="26" t="str">
        <f aca="false">IF(OR(D31="",E31="",E31=0),"",D31/E31)</f>
        <v/>
      </c>
      <c r="G31" s="25"/>
    </row>
    <row r="32" customFormat="false" ht="15" hidden="false" customHeight="false" outlineLevel="0" collapsed="false">
      <c r="A32" s="12" t="n">
        <v>6</v>
      </c>
      <c r="B32" s="24" t="n">
        <f aca="false">Overview!$B$4+7*(A32-1)</f>
        <v>46349</v>
      </c>
      <c r="C32" s="12" t="s">
        <v>293</v>
      </c>
      <c r="D32" s="25"/>
      <c r="E32" s="25"/>
      <c r="F32" s="26" t="str">
        <f aca="false">IF(OR(D32="",E32="",E32=0),"",D32/E32)</f>
        <v/>
      </c>
      <c r="G32" s="25"/>
    </row>
    <row r="33" customFormat="false" ht="15" hidden="false" customHeight="false" outlineLevel="0" collapsed="false">
      <c r="A33" s="12" t="n">
        <v>6</v>
      </c>
      <c r="B33" s="24" t="n">
        <f aca="false">Overview!$B$4+7*(A33-1)</f>
        <v>46349</v>
      </c>
      <c r="C33" s="12" t="s">
        <v>294</v>
      </c>
      <c r="D33" s="25"/>
      <c r="E33" s="25"/>
      <c r="F33" s="26" t="str">
        <f aca="false">IF(OR(D33="",E33="",E33=0),"",D33/E33)</f>
        <v/>
      </c>
      <c r="G33" s="25"/>
    </row>
    <row r="34" customFormat="false" ht="15" hidden="false" customHeight="false" outlineLevel="0" collapsed="false">
      <c r="A34" s="12" t="n">
        <v>6</v>
      </c>
      <c r="B34" s="24" t="n">
        <f aca="false">Overview!$B$4+7*(A34-1)</f>
        <v>46349</v>
      </c>
      <c r="C34" s="12" t="s">
        <v>295</v>
      </c>
      <c r="D34" s="25"/>
      <c r="E34" s="25"/>
      <c r="F34" s="26" t="str">
        <f aca="false">IF(OR(D34="",E34="",E34=0),"",D34/E34)</f>
        <v/>
      </c>
      <c r="G34" s="25"/>
    </row>
    <row r="35" customFormat="false" ht="15" hidden="false" customHeight="false" outlineLevel="0" collapsed="false">
      <c r="A35" s="12" t="n">
        <v>6</v>
      </c>
      <c r="B35" s="24" t="n">
        <f aca="false">Overview!$B$4+7*(A35-1)</f>
        <v>46349</v>
      </c>
      <c r="C35" s="12" t="s">
        <v>296</v>
      </c>
      <c r="D35" s="25"/>
      <c r="E35" s="25"/>
      <c r="F35" s="26" t="str">
        <f aca="false">IF(OR(D35="",E35="",E35=0),"",D35/E35)</f>
        <v/>
      </c>
      <c r="G35" s="25"/>
    </row>
    <row r="36" customFormat="false" ht="15" hidden="false" customHeight="false" outlineLevel="0" collapsed="false">
      <c r="A36" s="12" t="n">
        <v>6</v>
      </c>
      <c r="B36" s="24" t="n">
        <f aca="false">Overview!$B$4+7*(A36-1)</f>
        <v>46349</v>
      </c>
      <c r="C36" s="12" t="s">
        <v>297</v>
      </c>
      <c r="D36" s="25"/>
      <c r="E36" s="25"/>
      <c r="F36" s="26" t="str">
        <f aca="false">IF(OR(D36="",E36="",E36=0),"",D36/E36)</f>
        <v/>
      </c>
      <c r="G36" s="25"/>
    </row>
    <row r="37" customFormat="false" ht="15" hidden="false" customHeight="false" outlineLevel="0" collapsed="false">
      <c r="A37" s="12" t="n">
        <v>7</v>
      </c>
      <c r="B37" s="24" t="n">
        <f aca="false">Overview!$B$4+7*(A37-1)</f>
        <v>46356</v>
      </c>
      <c r="C37" s="12" t="s">
        <v>293</v>
      </c>
      <c r="D37" s="25"/>
      <c r="E37" s="25"/>
      <c r="F37" s="26" t="str">
        <f aca="false">IF(OR(D37="",E37="",E37=0),"",D37/E37)</f>
        <v/>
      </c>
      <c r="G37" s="25"/>
    </row>
    <row r="38" customFormat="false" ht="15" hidden="false" customHeight="false" outlineLevel="0" collapsed="false">
      <c r="A38" s="12" t="n">
        <v>7</v>
      </c>
      <c r="B38" s="24" t="n">
        <f aca="false">Overview!$B$4+7*(A38-1)</f>
        <v>46356</v>
      </c>
      <c r="C38" s="12" t="s">
        <v>294</v>
      </c>
      <c r="D38" s="25"/>
      <c r="E38" s="25"/>
      <c r="F38" s="26" t="str">
        <f aca="false">IF(OR(D38="",E38="",E38=0),"",D38/E38)</f>
        <v/>
      </c>
      <c r="G38" s="25"/>
    </row>
    <row r="39" customFormat="false" ht="15" hidden="false" customHeight="false" outlineLevel="0" collapsed="false">
      <c r="A39" s="12" t="n">
        <v>7</v>
      </c>
      <c r="B39" s="24" t="n">
        <f aca="false">Overview!$B$4+7*(A39-1)</f>
        <v>46356</v>
      </c>
      <c r="C39" s="12" t="s">
        <v>295</v>
      </c>
      <c r="D39" s="25"/>
      <c r="E39" s="25"/>
      <c r="F39" s="26" t="str">
        <f aca="false">IF(OR(D39="",E39="",E39=0),"",D39/E39)</f>
        <v/>
      </c>
      <c r="G39" s="25"/>
    </row>
    <row r="40" customFormat="false" ht="15" hidden="false" customHeight="false" outlineLevel="0" collapsed="false">
      <c r="A40" s="12" t="n">
        <v>7</v>
      </c>
      <c r="B40" s="24" t="n">
        <f aca="false">Overview!$B$4+7*(A40-1)</f>
        <v>46356</v>
      </c>
      <c r="C40" s="12" t="s">
        <v>296</v>
      </c>
      <c r="D40" s="25"/>
      <c r="E40" s="25"/>
      <c r="F40" s="26" t="str">
        <f aca="false">IF(OR(D40="",E40="",E40=0),"",D40/E40)</f>
        <v/>
      </c>
      <c r="G40" s="25"/>
    </row>
    <row r="41" customFormat="false" ht="15" hidden="false" customHeight="false" outlineLevel="0" collapsed="false">
      <c r="A41" s="12" t="n">
        <v>7</v>
      </c>
      <c r="B41" s="24" t="n">
        <f aca="false">Overview!$B$4+7*(A41-1)</f>
        <v>46356</v>
      </c>
      <c r="C41" s="12" t="s">
        <v>297</v>
      </c>
      <c r="D41" s="25"/>
      <c r="E41" s="25"/>
      <c r="F41" s="26" t="str">
        <f aca="false">IF(OR(D41="",E41="",E41=0),"",D41/E41)</f>
        <v/>
      </c>
      <c r="G41" s="25"/>
    </row>
    <row r="42" customFormat="false" ht="15" hidden="false" customHeight="false" outlineLevel="0" collapsed="false">
      <c r="A42" s="12" t="n">
        <v>8</v>
      </c>
      <c r="B42" s="24" t="n">
        <f aca="false">Overview!$B$4+7*(A42-1)</f>
        <v>46363</v>
      </c>
      <c r="C42" s="12" t="s">
        <v>293</v>
      </c>
      <c r="D42" s="25"/>
      <c r="E42" s="25"/>
      <c r="F42" s="26" t="str">
        <f aca="false">IF(OR(D42="",E42="",E42=0),"",D42/E42)</f>
        <v/>
      </c>
      <c r="G42" s="25"/>
    </row>
    <row r="43" customFormat="false" ht="15" hidden="false" customHeight="false" outlineLevel="0" collapsed="false">
      <c r="A43" s="12" t="n">
        <v>8</v>
      </c>
      <c r="B43" s="24" t="n">
        <f aca="false">Overview!$B$4+7*(A43-1)</f>
        <v>46363</v>
      </c>
      <c r="C43" s="12" t="s">
        <v>294</v>
      </c>
      <c r="D43" s="25"/>
      <c r="E43" s="25"/>
      <c r="F43" s="26" t="str">
        <f aca="false">IF(OR(D43="",E43="",E43=0),"",D43/E43)</f>
        <v/>
      </c>
      <c r="G43" s="25"/>
    </row>
    <row r="44" customFormat="false" ht="15" hidden="false" customHeight="false" outlineLevel="0" collapsed="false">
      <c r="A44" s="12" t="n">
        <v>8</v>
      </c>
      <c r="B44" s="24" t="n">
        <f aca="false">Overview!$B$4+7*(A44-1)</f>
        <v>46363</v>
      </c>
      <c r="C44" s="12" t="s">
        <v>295</v>
      </c>
      <c r="D44" s="25"/>
      <c r="E44" s="25"/>
      <c r="F44" s="26" t="str">
        <f aca="false">IF(OR(D44="",E44="",E44=0),"",D44/E44)</f>
        <v/>
      </c>
      <c r="G44" s="25"/>
    </row>
    <row r="45" customFormat="false" ht="15" hidden="false" customHeight="false" outlineLevel="0" collapsed="false">
      <c r="A45" s="12" t="n">
        <v>8</v>
      </c>
      <c r="B45" s="24" t="n">
        <f aca="false">Overview!$B$4+7*(A45-1)</f>
        <v>46363</v>
      </c>
      <c r="C45" s="12" t="s">
        <v>296</v>
      </c>
      <c r="D45" s="25"/>
      <c r="E45" s="25"/>
      <c r="F45" s="26" t="str">
        <f aca="false">IF(OR(D45="",E45="",E45=0),"",D45/E45)</f>
        <v/>
      </c>
      <c r="G45" s="25"/>
    </row>
    <row r="46" customFormat="false" ht="15" hidden="false" customHeight="false" outlineLevel="0" collapsed="false">
      <c r="A46" s="12" t="n">
        <v>8</v>
      </c>
      <c r="B46" s="24" t="n">
        <f aca="false">Overview!$B$4+7*(A46-1)</f>
        <v>46363</v>
      </c>
      <c r="C46" s="12" t="s">
        <v>297</v>
      </c>
      <c r="D46" s="25"/>
      <c r="E46" s="25"/>
      <c r="F46" s="26" t="str">
        <f aca="false">IF(OR(D46="",E46="",E46=0),"",D46/E46)</f>
        <v/>
      </c>
      <c r="G46" s="25"/>
    </row>
    <row r="48" customFormat="false" ht="15" hidden="false" customHeight="false" outlineLevel="0" collapsed="false">
      <c r="A48" s="27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15" hidden="false" customHeight="false" outlineLevel="0" collapsed="false">
      <c r="A4" s="28" t="s">
        <v>301</v>
      </c>
    </row>
    <row r="5" customFormat="false" ht="15" hidden="false" customHeight="false" outlineLevel="0" collapsed="false">
      <c r="A5" s="28"/>
    </row>
    <row r="6" customFormat="false" ht="15" hidden="false" customHeight="false" outlineLevel="0" collapsed="false">
      <c r="A6" s="28" t="s">
        <v>302</v>
      </c>
    </row>
    <row r="7" customFormat="false" ht="15" hidden="false" customHeight="false" outlineLevel="0" collapsed="false">
      <c r="A7" s="28"/>
    </row>
    <row r="8" customFormat="false" ht="15" hidden="false" customHeight="false" outlineLevel="0" collapsed="false">
      <c r="A8" s="28" t="s">
        <v>303</v>
      </c>
    </row>
    <row r="9" customFormat="false" ht="15" hidden="false" customHeight="false" outlineLevel="0" collapsed="false">
      <c r="A9" s="28" t="s">
        <v>304</v>
      </c>
    </row>
    <row r="10" customFormat="false" ht="15" hidden="false" customHeight="false" outlineLevel="0" collapsed="false">
      <c r="A10" s="28" t="s">
        <v>305</v>
      </c>
    </row>
    <row r="11" customFormat="false" ht="15" hidden="false" customHeight="false" outlineLevel="0" collapsed="false">
      <c r="A11" s="28"/>
    </row>
    <row r="12" customFormat="false" ht="15" hidden="false" customHeight="false" outlineLevel="0" collapsed="false">
      <c r="A12" s="28" t="s">
        <v>306</v>
      </c>
    </row>
    <row r="13" customFormat="false" ht="15" hidden="false" customHeight="false" outlineLevel="0" collapsed="false">
      <c r="A13" s="28" t="s">
        <v>307</v>
      </c>
    </row>
    <row r="14" customFormat="false" ht="15" hidden="false" customHeight="false" outlineLevel="0" collapsed="false">
      <c r="A14" s="28" t="s">
        <v>308</v>
      </c>
    </row>
    <row r="15" customFormat="false" ht="15" hidden="false" customHeight="false" outlineLevel="0" collapsed="false">
      <c r="A15" s="28" t="s">
        <v>309</v>
      </c>
    </row>
    <row r="16" customFormat="false" ht="15" hidden="false" customHeight="false" outlineLevel="0" collapsed="false">
      <c r="A16" s="28"/>
    </row>
    <row r="17" customFormat="false" ht="15" hidden="false" customHeight="false" outlineLevel="0" collapsed="false">
      <c r="A17" s="28" t="s">
        <v>310</v>
      </c>
    </row>
    <row r="18" customFormat="false" ht="15" hidden="false" customHeight="false" outlineLevel="0" collapsed="false">
      <c r="A18" s="28" t="s">
        <v>311</v>
      </c>
    </row>
    <row r="19" customFormat="false" ht="15" hidden="false" customHeight="false" outlineLevel="0" collapsed="false">
      <c r="A19" s="28" t="s">
        <v>312</v>
      </c>
    </row>
    <row r="20" customFormat="false" ht="15" hidden="false" customHeight="false" outlineLevel="0" collapsed="false">
      <c r="A20" s="28" t="s">
        <v>313</v>
      </c>
    </row>
    <row r="21" customFormat="false" ht="15" hidden="false" customHeight="false" outlineLevel="0" collapsed="false">
      <c r="A21" s="28" t="inlineStr">
        <is>
          <t>Main lifts note: 1–2 ramp sets, not logged; then all working sets at one weight. Logged sets are working sets.</t>
        </is>
      </c>
    </row>
    <row r="22" customFormat="false" ht="15" hidden="false" customHeight="false" outlineLevel="0" collapsed="false">
      <c r="A22" s="28"/>
    </row>
    <row r="23" customFormat="false" ht="15" hidden="false" customHeight="false" outlineLevel="0" collapsed="false">
      <c r="A23" s="28" t="s">
        <v>315</v>
      </c>
    </row>
    <row r="24" customFormat="false" ht="15" hidden="false" customHeight="false" outlineLevel="0" collapsed="false">
      <c r="A24" s="28" t="s">
        <v>316</v>
      </c>
    </row>
    <row r="25" customFormat="false" ht="15" hidden="false" customHeight="false" outlineLevel="0" collapsed="false">
      <c r="A25" s="28" t="s">
        <v>317</v>
      </c>
    </row>
    <row r="26" customFormat="false" ht="15" hidden="false" customHeight="false" outlineLevel="0" collapsed="false">
      <c r="A26" s="28" t="s">
        <v>318</v>
      </c>
    </row>
    <row r="27" customFormat="false" ht="15" hidden="false" customHeight="false" outlineLevel="0" collapsed="false">
      <c r="A27" s="28" t="s">
        <v>319</v>
      </c>
    </row>
    <row r="28" customFormat="false" ht="15" hidden="false" customHeight="false" outlineLevel="0" collapsed="false">
      <c r="A28" s="28" t="s">
        <v>320</v>
      </c>
    </row>
    <row r="29" customFormat="false" ht="15" hidden="false" customHeight="false" outlineLevel="0" collapsed="false">
      <c r="A29" s="28" t="s">
        <v>321</v>
      </c>
    </row>
    <row r="30" customFormat="false" ht="15" hidden="false" customHeight="false" outlineLevel="0" collapsed="false">
      <c r="A30" s="28"/>
    </row>
    <row r="31" customFormat="false" ht="15" hidden="false" customHeight="false" outlineLevel="0" collapsed="false">
      <c r="A31" s="28" t="s">
        <v>322</v>
      </c>
    </row>
    <row r="32" customFormat="false" ht="15" hidden="false" customHeight="false" outlineLevel="0" collapsed="false">
      <c r="A32" s="28" t="s">
        <v>323</v>
      </c>
    </row>
    <row r="33" customFormat="false" ht="15" hidden="false" customHeight="false" outlineLevel="0" collapsed="false">
      <c r="A33" s="28" t="s">
        <v>324</v>
      </c>
    </row>
    <row r="34" customFormat="false" ht="15" hidden="false" customHeight="false" outlineLevel="0" collapsed="false">
      <c r="A34" s="28" t="s">
        <v>325</v>
      </c>
    </row>
    <row r="35" customFormat="false" ht="15" hidden="false" customHeight="false" outlineLevel="0" collapsed="false">
      <c r="A35" s="28" t="s">
        <v>326</v>
      </c>
    </row>
    <row r="36" customFormat="false" ht="15" hidden="false" customHeight="false" outlineLevel="0" collapsed="false">
      <c r="A36" s="28" t="s">
        <v>327</v>
      </c>
    </row>
    <row r="37" customFormat="false" ht="15" hidden="false" customHeight="false" outlineLevel="0" collapsed="false">
      <c r="A37" s="28" t="s">
        <v>328</v>
      </c>
    </row>
    <row r="38" customFormat="false" ht="15" hidden="false" customHeight="false" outlineLevel="0" collapsed="false">
      <c r="A38" s="28"/>
    </row>
    <row r="39" customFormat="false" ht="15" hidden="false" customHeight="false" outlineLevel="0" collapsed="false">
      <c r="A39" s="28" t="s">
        <v>329</v>
      </c>
    </row>
    <row r="40" customFormat="false" ht="15" hidden="false" customHeight="false" outlineLevel="0" collapsed="false">
      <c r="A40" s="28" t="s">
        <v>330</v>
      </c>
    </row>
    <row r="41" customFormat="false" ht="15" hidden="false" customHeight="false" outlineLevel="0" collapsed="false">
      <c r="A41" s="28" t="s">
        <v>331</v>
      </c>
    </row>
    <row r="42" customFormat="false" ht="15" hidden="false" customHeight="false" outlineLevel="0" collapsed="false">
      <c r="A42" s="28" t="s">
        <v>332</v>
      </c>
    </row>
    <row r="43" customFormat="false" ht="15" hidden="false" customHeight="false" outlineLevel="0" collapsed="false">
      <c r="A43" s="28" t="s">
        <v>333</v>
      </c>
    </row>
    <row r="44" customFormat="false" ht="15" hidden="false" customHeight="false" outlineLevel="0" collapsed="false">
      <c r="A44" s="28" t="s">
        <v>334</v>
      </c>
    </row>
    <row r="45" customFormat="false" ht="15" hidden="false" customHeight="false" outlineLevel="0" collapsed="false">
      <c r="A45" s="28" t="s">
        <v>321</v>
      </c>
    </row>
    <row r="46" customFormat="false" ht="15" hidden="false" customHeight="false" outlineLevel="0" collapsed="false">
      <c r="A46" s="28"/>
    </row>
    <row r="47" customFormat="false" ht="15" hidden="false" customHeight="false" outlineLevel="0" collapsed="false">
      <c r="A47" s="28" t="s">
        <v>335</v>
      </c>
    </row>
    <row r="48" customFormat="false" ht="15" hidden="false" customHeight="false" outlineLevel="0" collapsed="false">
      <c r="A48" s="28" t="s">
        <v>336</v>
      </c>
    </row>
    <row r="49" customFormat="false" ht="15" hidden="false" customHeight="false" outlineLevel="0" collapsed="false">
      <c r="A49" s="28" t="s">
        <v>337</v>
      </c>
    </row>
    <row r="50" customFormat="false" ht="15" hidden="false" customHeight="false" outlineLevel="0" collapsed="false">
      <c r="A50" s="28" t="s">
        <v>338</v>
      </c>
    </row>
    <row r="51" customFormat="false" ht="15" hidden="false" customHeight="false" outlineLevel="0" collapsed="false">
      <c r="A51" s="28" t="s">
        <v>339</v>
      </c>
    </row>
    <row r="52" customFormat="false" ht="15" hidden="false" customHeight="false" outlineLevel="0" collapsed="false">
      <c r="A52" s="28" t="s">
        <v>323</v>
      </c>
    </row>
    <row r="53" customFormat="false" ht="15" hidden="false" customHeight="false" outlineLevel="0" collapsed="false">
      <c r="A53" s="28" t="s">
        <v>340</v>
      </c>
    </row>
    <row r="54" customFormat="false" ht="15" hidden="false" customHeight="false" outlineLevel="0" collapsed="false">
      <c r="A54" s="28" t="s">
        <v>341</v>
      </c>
    </row>
    <row r="55" customFormat="false" ht="15" hidden="false" customHeight="false" outlineLevel="0" collapsed="false">
      <c r="A55" s="28" t="s">
        <v>342</v>
      </c>
    </row>
    <row r="56" customFormat="false" ht="15" hidden="false" customHeight="false" outlineLevel="0" collapsed="false">
      <c r="A56" s="28" t="s">
        <v>343</v>
      </c>
    </row>
    <row r="57" customFormat="false" ht="15" hidden="false" customHeight="false" outlineLevel="0" collapsed="false">
      <c r="A57" s="28" t="s">
        <v>344</v>
      </c>
    </row>
    <row r="58" customFormat="false" ht="15" hidden="false" customHeight="false" outlineLevel="0" collapsed="false">
      <c r="A58" s="28" t="s">
        <v>345</v>
      </c>
    </row>
    <row r="59" customFormat="false" ht="15" hidden="false" customHeight="false" outlineLevel="0" collapsed="false">
      <c r="A59" s="28" t="s">
        <v>346</v>
      </c>
    </row>
    <row r="60" customFormat="false" ht="15" hidden="false" customHeight="false" outlineLevel="0" collapsed="false">
      <c r="A60" s="28" t="s">
        <v>347</v>
      </c>
    </row>
    <row r="61" customFormat="false" ht="15" hidden="false" customHeight="false" outlineLevel="0" collapsed="false">
      <c r="A61" s="28"/>
    </row>
    <row r="62" customFormat="false" ht="15" hidden="false" customHeight="false" outlineLevel="0" collapsed="false">
      <c r="A62" s="28" t="s">
        <v>348</v>
      </c>
    </row>
    <row r="63" customFormat="false" ht="15" hidden="false" customHeight="false" outlineLevel="0" collapsed="false">
      <c r="A63" s="28"/>
    </row>
    <row r="64" customFormat="false" ht="15" hidden="false" customHeight="false" outlineLevel="0" collapsed="false">
      <c r="A64" s="28" t="s">
        <v>349</v>
      </c>
    </row>
    <row r="65" customFormat="false" ht="15" hidden="false" customHeight="false" outlineLevel="0" collapsed="false">
      <c r="A65" s="28" t="s">
        <v>350</v>
      </c>
    </row>
    <row r="66" customFormat="false" ht="15" hidden="false" customHeight="false" outlineLevel="0" collapsed="false">
      <c r="A66" s="28" t="s">
        <v>351</v>
      </c>
    </row>
    <row r="67" customFormat="false" ht="15" hidden="false" customHeight="false" outlineLevel="0" collapsed="false">
      <c r="A67" s="28" t="s">
        <v>352</v>
      </c>
    </row>
    <row r="68" customFormat="false" ht="15" hidden="false" customHeight="false" outlineLevel="0" collapsed="false">
      <c r="A68" s="28" t="s">
        <v>353</v>
      </c>
    </row>
    <row r="69" customFormat="false" ht="15" hidden="false" customHeight="false" outlineLevel="0" collapsed="false">
      <c r="A69" s="28" t="s">
        <v>354</v>
      </c>
    </row>
    <row r="70" customFormat="false" ht="15" hidden="false" customHeight="false" outlineLevel="0" collapsed="false">
      <c r="A70" s="28"/>
    </row>
    <row r="71" customFormat="false" ht="15" hidden="false" customHeight="false" outlineLevel="0" collapsed="false">
      <c r="A71" s="28" t="s">
        <v>355</v>
      </c>
    </row>
    <row r="72" customFormat="false" ht="15" hidden="false" customHeight="false" outlineLevel="0" collapsed="false">
      <c r="A72" s="28" t="s">
        <v>356</v>
      </c>
    </row>
    <row r="73" customFormat="false" ht="15" hidden="false" customHeight="false" outlineLevel="0" collapsed="false">
      <c r="A73" s="28"/>
    </row>
    <row r="74" customFormat="false" ht="15" hidden="false" customHeight="false" outlineLevel="0" collapsed="false">
      <c r="A74" s="28"/>
    </row>
    <row r="75" customFormat="false" ht="15" hidden="false" customHeight="false" outlineLevel="0" collapsed="false">
      <c r="A75" s="28"/>
    </row>
    <row r="76" customFormat="false" ht="15" hidden="false" customHeight="false" outlineLevel="0" collapsed="false">
      <c r="A76" s="28" t="s">
        <v>357</v>
      </c>
    </row>
    <row r="77" customFormat="false" ht="15" hidden="false" customHeight="false" outlineLevel="0" collapsed="false">
      <c r="A77" s="28"/>
    </row>
    <row r="78" customFormat="false" ht="15" hidden="false" customHeight="false" outlineLevel="0" collapsed="false">
      <c r="A78" s="28" t="s">
        <v>302</v>
      </c>
    </row>
    <row r="79" customFormat="false" ht="15" hidden="false" customHeight="false" outlineLevel="0" collapsed="false">
      <c r="A79" s="28"/>
    </row>
    <row r="80" customFormat="false" ht="15" hidden="false" customHeight="false" outlineLevel="0" collapsed="false">
      <c r="A80" s="28" t="s">
        <v>358</v>
      </c>
    </row>
    <row r="81" customFormat="false" ht="15" hidden="false" customHeight="false" outlineLevel="0" collapsed="false">
      <c r="A81" s="28" t="s">
        <v>359</v>
      </c>
    </row>
    <row r="82" customFormat="false" ht="15" hidden="false" customHeight="false" outlineLevel="0" collapsed="false">
      <c r="A82" s="28" t="s">
        <v>360</v>
      </c>
    </row>
    <row r="83" customFormat="false" ht="15" hidden="false" customHeight="false" outlineLevel="0" collapsed="false">
      <c r="A83" s="28" t="s">
        <v>361</v>
      </c>
    </row>
    <row r="84" customFormat="false" ht="15" hidden="false" customHeight="false" outlineLevel="0" collapsed="false">
      <c r="A84" s="28"/>
    </row>
    <row r="85" customFormat="false" ht="15" hidden="false" customHeight="false" outlineLevel="0" collapsed="false">
      <c r="A85" s="28" t="s">
        <v>362</v>
      </c>
    </row>
    <row r="86" customFormat="false" ht="15" hidden="false" customHeight="false" outlineLevel="0" collapsed="false">
      <c r="A86" s="28"/>
    </row>
    <row r="87" customFormat="false" ht="15" hidden="false" customHeight="false" outlineLevel="0" collapsed="false">
      <c r="A87" s="28" t="s">
        <v>363</v>
      </c>
    </row>
    <row r="88" customFormat="false" ht="15" hidden="false" customHeight="false" outlineLevel="0" collapsed="false">
      <c r="A88" s="28" t="s">
        <v>364</v>
      </c>
    </row>
    <row r="89" customFormat="false" ht="15" hidden="false" customHeight="false" outlineLevel="0" collapsed="false">
      <c r="A89" s="28" t="s">
        <v>365</v>
      </c>
    </row>
    <row r="90" customFormat="false" ht="15" hidden="false" customHeight="false" outlineLevel="0" collapsed="false">
      <c r="A90" s="28" t="s">
        <v>366</v>
      </c>
    </row>
    <row r="91" customFormat="false" ht="15" hidden="false" customHeight="false" outlineLevel="0" collapsed="false">
      <c r="A91" s="28" t="s">
        <v>367</v>
      </c>
    </row>
    <row r="92" customFormat="false" ht="15" hidden="false" customHeight="false" outlineLevel="0" collapsed="false">
      <c r="A92" s="28" t="s">
        <v>368</v>
      </c>
    </row>
    <row r="93" customFormat="false" ht="15" hidden="false" customHeight="false" outlineLevel="0" collapsed="false">
      <c r="A93" s="28" t="s">
        <v>369</v>
      </c>
    </row>
    <row r="94" customFormat="false" ht="15" hidden="false" customHeight="false" outlineLevel="0" collapsed="false">
      <c r="A94" s="28" t="s">
        <v>370</v>
      </c>
    </row>
    <row r="95" customFormat="false" ht="15" hidden="false" customHeight="false" outlineLevel="0" collapsed="false">
      <c r="A95" s="28" t="s">
        <v>371</v>
      </c>
    </row>
    <row r="96" customFormat="false" ht="15" hidden="false" customHeight="false" outlineLevel="0" collapsed="false">
      <c r="A96" s="28" t="s">
        <v>372</v>
      </c>
    </row>
    <row r="97" customFormat="false" ht="15" hidden="false" customHeight="false" outlineLevel="0" collapsed="false">
      <c r="A97" s="28" t="s">
        <v>373</v>
      </c>
    </row>
    <row r="98" customFormat="false" ht="15" hidden="false" customHeight="false" outlineLevel="0" collapsed="false">
      <c r="A98" s="28" t="s">
        <v>374</v>
      </c>
    </row>
    <row r="99" customFormat="false" ht="15" hidden="false" customHeight="false" outlineLevel="0" collapsed="false">
      <c r="A99" s="28" t="s">
        <v>375</v>
      </c>
    </row>
    <row r="100" customFormat="false" ht="15" hidden="false" customHeight="false" outlineLevel="0" collapsed="false">
      <c r="A100" s="28" t="s">
        <v>376</v>
      </c>
    </row>
    <row r="101" customFormat="false" ht="15" hidden="false" customHeight="false" outlineLevel="0" collapsed="false">
      <c r="A101" s="28"/>
    </row>
    <row r="102" customFormat="false" ht="15" hidden="false" customHeight="false" outlineLevel="0" collapsed="false">
      <c r="A102" s="28" t="s">
        <v>377</v>
      </c>
    </row>
    <row r="103" customFormat="false" ht="15" hidden="false" customHeight="false" outlineLevel="0" collapsed="false">
      <c r="A103" s="28" t="s">
        <v>378</v>
      </c>
    </row>
    <row r="104" customFormat="false" ht="15" hidden="false" customHeight="false" outlineLevel="0" collapsed="false">
      <c r="A104" s="28" t="s">
        <v>379</v>
      </c>
    </row>
    <row r="105" customFormat="false" ht="15" hidden="false" customHeight="false" outlineLevel="0" collapsed="false">
      <c r="A105" s="28" t="s">
        <v>380</v>
      </c>
    </row>
    <row r="106" customFormat="false" ht="15" hidden="false" customHeight="false" outlineLevel="0" collapsed="false">
      <c r="A106" s="28" t="s">
        <v>381</v>
      </c>
    </row>
    <row r="107" customFormat="false" ht="15" hidden="false" customHeight="false" outlineLevel="0" collapsed="false">
      <c r="A107" s="28"/>
    </row>
    <row r="108" customFormat="false" ht="15" hidden="false" customHeight="false" outlineLevel="0" collapsed="false">
      <c r="A108" s="28" t="s">
        <v>382</v>
      </c>
    </row>
    <row r="109" customFormat="false" ht="15" hidden="false" customHeight="false" outlineLevel="0" collapsed="false">
      <c r="A109" s="28" t="s">
        <v>383</v>
      </c>
    </row>
    <row r="110" customFormat="false" ht="15" hidden="false" customHeight="false" outlineLevel="0" collapsed="false">
      <c r="A110" s="28" t="s">
        <v>384</v>
      </c>
    </row>
    <row r="111" customFormat="false" ht="15" hidden="false" customHeight="false" outlineLevel="0" collapsed="false">
      <c r="A111" s="28" t="s">
        <v>385</v>
      </c>
    </row>
    <row r="112" customFormat="false" ht="15" hidden="false" customHeight="false" outlineLevel="0" collapsed="false">
      <c r="A112" s="28" t="s">
        <v>386</v>
      </c>
    </row>
    <row r="113" customFormat="false" ht="15" hidden="false" customHeight="false" outlineLevel="0" collapsed="false">
      <c r="A113" s="28"/>
    </row>
    <row r="114" customFormat="false" ht="15" hidden="false" customHeight="false" outlineLevel="0" collapsed="false">
      <c r="A114" s="28" t="s">
        <v>387</v>
      </c>
    </row>
    <row r="115" customFormat="false" ht="15" hidden="false" customHeight="false" outlineLevel="0" collapsed="false">
      <c r="A115" s="28" t="s">
        <v>388</v>
      </c>
    </row>
    <row r="116" customFormat="false" ht="15" hidden="false" customHeight="false" outlineLevel="0" collapsed="false">
      <c r="A116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2026-10-09T16:24:29Z</dcterms:created>
  <dc:creator>openpyxl</dc:creator>
  <dc:description/>
  <dc:language>en-US</dc:language>
  <cp:lastModifiedBy/>
  <dcterms:modified xsi:type="dcterms:W3CDTF">2026-10-09T16:24:29Z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